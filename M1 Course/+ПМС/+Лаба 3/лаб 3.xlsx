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Flashka\ПМС\Лаба 3\"/>
    </mc:Choice>
  </mc:AlternateContent>
  <xr:revisionPtr revIDLastSave="0" documentId="13_ncr:1_{9B1F3A75-38E8-41F5-A4EC-AED3C386129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8" i="1" l="1"/>
  <c r="N37" i="1"/>
  <c r="N34" i="1"/>
  <c r="N35" i="1"/>
  <c r="N29" i="1"/>
  <c r="N30" i="1"/>
  <c r="N31" i="1"/>
  <c r="N32" i="1"/>
  <c r="N33" i="1"/>
  <c r="N28" i="1"/>
  <c r="M25" i="1"/>
  <c r="N25" i="1" s="1"/>
  <c r="M19" i="1"/>
  <c r="M20" i="1"/>
  <c r="M21" i="1"/>
  <c r="M22" i="1"/>
  <c r="M23" i="1"/>
  <c r="M24" i="1"/>
  <c r="M18" i="1"/>
  <c r="N24" i="1"/>
  <c r="L24" i="1"/>
  <c r="L25" i="1"/>
  <c r="L19" i="1"/>
  <c r="L20" i="1"/>
  <c r="L21" i="1"/>
  <c r="L22" i="1"/>
  <c r="L23" i="1"/>
  <c r="L18" i="1"/>
  <c r="C19" i="1"/>
  <c r="C20" i="1"/>
  <c r="C21" i="1"/>
  <c r="C22" i="1"/>
  <c r="C23" i="1"/>
  <c r="C24" i="1"/>
  <c r="C25" i="1"/>
  <c r="C18" i="1"/>
  <c r="F23" i="1"/>
  <c r="F19" i="1"/>
  <c r="F20" i="1"/>
  <c r="F21" i="1"/>
  <c r="F22" i="1"/>
  <c r="F18" i="1"/>
  <c r="P4" i="1"/>
  <c r="P5" i="1"/>
  <c r="P6" i="1"/>
  <c r="P7" i="1"/>
  <c r="P8" i="1"/>
  <c r="P9" i="1"/>
  <c r="G19" i="1"/>
  <c r="G20" i="1"/>
  <c r="G21" i="1"/>
  <c r="G22" i="1"/>
  <c r="G23" i="1"/>
  <c r="G18" i="1"/>
  <c r="M109" i="1" l="1"/>
  <c r="K95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94" i="1"/>
  <c r="J87" i="1"/>
  <c r="G85" i="1"/>
  <c r="J77" i="1"/>
  <c r="J75" i="1"/>
  <c r="I67" i="1" a="1"/>
  <c r="I67" i="1" s="1"/>
  <c r="H64" i="1"/>
  <c r="H67" i="1" s="1"/>
  <c r="H63" i="1"/>
  <c r="L6" i="1"/>
  <c r="K56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57" i="1"/>
  <c r="E47" i="1"/>
  <c r="E48" i="1"/>
  <c r="E49" i="1"/>
  <c r="G46" i="1" s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46" i="1"/>
  <c r="F46" i="1" s="1"/>
  <c r="K50" i="1"/>
  <c r="I70" i="1" l="1"/>
  <c r="I73" i="1"/>
  <c r="I69" i="1"/>
  <c r="I74" i="1"/>
  <c r="I72" i="1"/>
  <c r="I68" i="1"/>
  <c r="I71" i="1"/>
  <c r="H71" i="1"/>
  <c r="H74" i="1"/>
  <c r="H68" i="1"/>
  <c r="H70" i="1"/>
  <c r="H73" i="1"/>
  <c r="H69" i="1"/>
  <c r="H72" i="1"/>
  <c r="K49" i="1"/>
  <c r="O5" i="1"/>
  <c r="O6" i="1"/>
  <c r="O7" i="1"/>
  <c r="O8" i="1"/>
  <c r="O9" i="1"/>
  <c r="O4" i="1"/>
  <c r="M8" i="1"/>
  <c r="L8" i="1"/>
  <c r="J73" i="1" l="1"/>
  <c r="K21" i="1"/>
  <c r="K23" i="1"/>
  <c r="K20" i="1"/>
  <c r="K19" i="1"/>
  <c r="K22" i="1"/>
  <c r="K18" i="1"/>
  <c r="H2" i="1"/>
  <c r="J70" i="1" l="1"/>
  <c r="J72" i="1"/>
  <c r="J69" i="1"/>
  <c r="J74" i="1"/>
  <c r="J71" i="1"/>
  <c r="J67" i="1"/>
  <c r="J68" i="1"/>
  <c r="M6" i="1"/>
  <c r="A18" i="1" l="1"/>
  <c r="A19" i="1" s="1"/>
  <c r="D2" i="1"/>
  <c r="H1" i="1"/>
  <c r="F1" i="1"/>
  <c r="D1" i="1"/>
  <c r="N18" i="1" l="1"/>
  <c r="A20" i="1"/>
  <c r="N19" i="1" l="1"/>
  <c r="A21" i="1"/>
  <c r="A22" i="1" l="1"/>
  <c r="N20" i="1"/>
  <c r="A23" i="1" l="1"/>
  <c r="N21" i="1"/>
  <c r="A24" i="1" l="1"/>
  <c r="N22" i="1"/>
  <c r="A25" i="1" l="1"/>
  <c r="N23" i="1"/>
  <c r="B18" i="1" a="1"/>
  <c r="B18" i="1" l="1"/>
  <c r="B25" i="1"/>
  <c r="B19" i="1"/>
  <c r="B21" i="1"/>
  <c r="B23" i="1"/>
  <c r="B24" i="1"/>
  <c r="B20" i="1"/>
  <c r="B22" i="1"/>
  <c r="B26" i="1" l="1"/>
  <c r="H20" i="1" l="1"/>
  <c r="H21" i="1"/>
  <c r="H23" i="1"/>
  <c r="H22" i="1"/>
  <c r="H19" i="1"/>
  <c r="H18" i="1"/>
  <c r="Q4" i="1" l="1"/>
  <c r="Q5" i="1"/>
  <c r="Q8" i="1"/>
  <c r="Q9" i="1"/>
  <c r="Q7" i="1"/>
  <c r="Q6" i="1"/>
  <c r="Q11" i="1" l="1"/>
</calcChain>
</file>

<file path=xl/sharedStrings.xml><?xml version="1.0" encoding="utf-8"?>
<sst xmlns="http://schemas.openxmlformats.org/spreadsheetml/2006/main" count="70" uniqueCount="63">
  <si>
    <t>μ=</t>
  </si>
  <si>
    <t>σ=</t>
  </si>
  <si>
    <t>max=</t>
  </si>
  <si>
    <t>n=</t>
  </si>
  <si>
    <t>min=</t>
  </si>
  <si>
    <t>h=</t>
  </si>
  <si>
    <t>m=</t>
  </si>
  <si>
    <t>Частоты</t>
  </si>
  <si>
    <t>Относительные частоты</t>
  </si>
  <si>
    <t>Накопительные частоты</t>
  </si>
  <si>
    <t>Выборочное среднее</t>
  </si>
  <si>
    <t>Выборочная дисперсия</t>
  </si>
  <si>
    <t>Коэффициент ассиметрии</t>
  </si>
  <si>
    <t>Коэффициент эксцесса</t>
  </si>
  <si>
    <t>Середины интервалов</t>
  </si>
  <si>
    <t>Плотность частоты</t>
  </si>
  <si>
    <t>x2</t>
  </si>
  <si>
    <t>Значения npi*</t>
  </si>
  <si>
    <t>Вероятность попадения в интервал pi*</t>
  </si>
  <si>
    <t>Статистика критическая</t>
  </si>
  <si>
    <t>Статистика наблюдаемая</t>
  </si>
  <si>
    <t>Изменённый диапазон</t>
  </si>
  <si>
    <t>Изменённые частоты</t>
  </si>
  <si>
    <t>Диапазон</t>
  </si>
  <si>
    <t>Стандартное отклонение=</t>
  </si>
  <si>
    <t>Вывод: Нет оснований отвергать гипотезу H₀, распределение можно считать нормальным</t>
  </si>
  <si>
    <t>Теоретическое интегральное распределение</t>
  </si>
  <si>
    <t>Эмпирическое интегральное распределение</t>
  </si>
  <si>
    <t>Отклонение между теоретическим и эмпирическим распределением для простой гипотезы</t>
  </si>
  <si>
    <t>Статистика Колмогорова:</t>
  </si>
  <si>
    <t>Критическое значение статистики Колмогорова:</t>
  </si>
  <si>
    <t>Выборка</t>
  </si>
  <si>
    <t>Сорт</t>
  </si>
  <si>
    <t>+</t>
  </si>
  <si>
    <t>-</t>
  </si>
  <si>
    <t>i</t>
  </si>
  <si>
    <t>D+</t>
  </si>
  <si>
    <t>D-</t>
  </si>
  <si>
    <t>Статистика Колмогорова-Смирнова</t>
  </si>
  <si>
    <t>Критическое значение статистики Колмогорова-Смирнова:</t>
  </si>
  <si>
    <t>w</t>
  </si>
  <si>
    <t>Статистика Смирнова-Крамера-фон Мизеса</t>
  </si>
  <si>
    <t>Критическое значение статистики Смирнова-Крамера-фон Мизеса</t>
  </si>
  <si>
    <t>Среднее</t>
  </si>
  <si>
    <t>Отклонение</t>
  </si>
  <si>
    <t>Критерий Колмогорова-Смирнова:</t>
  </si>
  <si>
    <t>Критерий Смирнова-Крамера-фон Мизеса:</t>
  </si>
  <si>
    <t>Критерий Колмогорова:</t>
  </si>
  <si>
    <t>Модифицированый критерий:</t>
  </si>
  <si>
    <t>Коэффициенты ci</t>
  </si>
  <si>
    <t>Границы интервалов</t>
  </si>
  <si>
    <t>Модифицированая статистика хи-квадрат</t>
  </si>
  <si>
    <t>Критическое значение</t>
  </si>
  <si>
    <t>Критерий типа Колмогорова – Смирнова:</t>
  </si>
  <si>
    <t>Поправочный коэффициент</t>
  </si>
  <si>
    <t>Статистика типа Колмогорова – Смирнова</t>
  </si>
  <si>
    <t>Критерий значения</t>
  </si>
  <si>
    <t>Критерий Фроцини:</t>
  </si>
  <si>
    <t>zi</t>
  </si>
  <si>
    <t>F(zi)</t>
  </si>
  <si>
    <t>Статистика Фроцини</t>
  </si>
  <si>
    <t>Абсолютная частота</t>
  </si>
  <si>
    <t>Теоретическая плотность нормального распределения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</si>
</sst>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6" formatCode="0.00000000"/>
    <numFmt numFmtId="167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0"/>
      <name val="Consolas"/>
      <family val="3"/>
      <charset val="204"/>
    </font>
    <font>
      <b/>
      <sz val="11"/>
      <name val="Calibri"/>
      <family val="2"/>
      <charset val="204"/>
      <scheme val="minor"/>
    </font>
    <font>
      <b/>
      <sz val="11"/>
      <name val="Segoe UI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0"/>
      <color rgb="FFF9FAFB"/>
      <name val="Consolas"/>
      <family val="3"/>
      <charset val="204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164" fontId="0" fillId="3" borderId="2" xfId="0" applyNumberFormat="1" applyFill="1" applyBorder="1" applyAlignment="1">
      <alignment horizontal="center"/>
    </xf>
    <xf numFmtId="0" fontId="5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 indent="1"/>
    </xf>
    <xf numFmtId="165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3" xfId="0" applyBorder="1"/>
    <xf numFmtId="165" fontId="0" fillId="4" borderId="1" xfId="0" applyNumberFormat="1" applyFill="1" applyBorder="1" applyAlignment="1">
      <alignment horizontal="center"/>
    </xf>
    <xf numFmtId="0" fontId="1" fillId="0" borderId="0" xfId="0" applyFont="1" applyAlignment="1"/>
    <xf numFmtId="0" fontId="9" fillId="0" borderId="0" xfId="0" applyFont="1" applyAlignment="1">
      <alignment horizontal="left" vertical="center" indent="1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1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right"/>
    </xf>
    <xf numFmtId="0" fontId="2" fillId="6" borderId="1" xfId="0" applyFont="1" applyFill="1" applyBorder="1"/>
    <xf numFmtId="2" fontId="0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0" fillId="0" borderId="1" xfId="0" applyFill="1" applyBorder="1"/>
    <xf numFmtId="0" fontId="0" fillId="7" borderId="1" xfId="0" applyFill="1" applyBorder="1"/>
    <xf numFmtId="166" fontId="0" fillId="4" borderId="1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Лист1!$D$18:$D$23</c:f>
              <c:numCache>
                <c:formatCode>General</c:formatCode>
                <c:ptCount val="6"/>
                <c:pt idx="0">
                  <c:v>-9.7899999999999991</c:v>
                </c:pt>
                <c:pt idx="1">
                  <c:v>-1.9699999999999993</c:v>
                </c:pt>
                <c:pt idx="2">
                  <c:v>1.9400000000000004</c:v>
                </c:pt>
                <c:pt idx="3">
                  <c:v>5.85</c:v>
                </c:pt>
                <c:pt idx="4">
                  <c:v>9.76</c:v>
                </c:pt>
                <c:pt idx="5">
                  <c:v>17.579999999999998</c:v>
                </c:pt>
              </c:numCache>
            </c:numRef>
          </c:cat>
          <c:val>
            <c:numRef>
              <c:f>Лист1!$E$18:$E$23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30</c:v>
                </c:pt>
                <c:pt idx="3">
                  <c:v>29</c:v>
                </c:pt>
                <c:pt idx="4">
                  <c:v>15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E-4D51-BD87-26E4D298F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13295"/>
        <c:axId val="2014793615"/>
      </c:barChart>
      <c:catAx>
        <c:axId val="201471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793615"/>
        <c:crosses val="autoZero"/>
        <c:auto val="1"/>
        <c:lblAlgn val="ctr"/>
        <c:lblOffset val="100"/>
        <c:noMultiLvlLbl val="0"/>
      </c:catAx>
      <c:valAx>
        <c:axId val="201479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71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распределений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7171296296296298"/>
          <c:w val="0.90286351706036749"/>
          <c:h val="0.72088764946048411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Лист1!$D$18:$D$23</c:f>
              <c:numCache>
                <c:formatCode>General</c:formatCode>
                <c:ptCount val="6"/>
                <c:pt idx="0">
                  <c:v>-9.7899999999999991</c:v>
                </c:pt>
                <c:pt idx="1">
                  <c:v>-1.9699999999999993</c:v>
                </c:pt>
                <c:pt idx="2">
                  <c:v>1.9400000000000004</c:v>
                </c:pt>
                <c:pt idx="3">
                  <c:v>5.85</c:v>
                </c:pt>
                <c:pt idx="4">
                  <c:v>9.76</c:v>
                </c:pt>
                <c:pt idx="5">
                  <c:v>17.579999999999998</c:v>
                </c:pt>
              </c:numCache>
            </c:numRef>
          </c:cat>
          <c:val>
            <c:numRef>
              <c:f>Лист1!$C$18:$C$25</c:f>
              <c:numCache>
                <c:formatCode>General</c:formatCode>
                <c:ptCount val="8"/>
                <c:pt idx="0">
                  <c:v>2.5575447570332483E-3</c:v>
                </c:pt>
                <c:pt idx="1">
                  <c:v>2.0460358056265986E-2</c:v>
                </c:pt>
                <c:pt idx="2">
                  <c:v>2.8132992327365727E-2</c:v>
                </c:pt>
                <c:pt idx="3">
                  <c:v>7.6726342710997444E-2</c:v>
                </c:pt>
                <c:pt idx="4">
                  <c:v>7.4168797953964194E-2</c:v>
                </c:pt>
                <c:pt idx="5">
                  <c:v>3.8363171355498722E-2</c:v>
                </c:pt>
                <c:pt idx="6">
                  <c:v>1.278772378516624E-2</c:v>
                </c:pt>
                <c:pt idx="7">
                  <c:v>2.5575447570332483E-3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C-4781-AEAF-8E36280D5E5B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Лист1!$L$18:$L$25</c:f>
              <c:numCache>
                <c:formatCode>0.00000</c:formatCode>
                <c:ptCount val="8"/>
                <c:pt idx="0">
                  <c:v>1.935274378969826E-2</c:v>
                </c:pt>
                <c:pt idx="1">
                  <c:v>9.01097351755418E-2</c:v>
                </c:pt>
                <c:pt idx="2">
                  <c:v>0.22762469709799027</c:v>
                </c:pt>
                <c:pt idx="3">
                  <c:v>0.31195040203637886</c:v>
                </c:pt>
                <c:pt idx="4">
                  <c:v>0.23193709840516394</c:v>
                </c:pt>
                <c:pt idx="5">
                  <c:v>9.3556376082028742E-2</c:v>
                </c:pt>
                <c:pt idx="6">
                  <c:v>2.0473640046556999E-2</c:v>
                </c:pt>
                <c:pt idx="7">
                  <c:v>2.4307216956197331E-3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C-4781-AEAF-8E36280D5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713295"/>
        <c:axId val="2014793615"/>
      </c:lineChart>
      <c:catAx>
        <c:axId val="201471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793615"/>
        <c:crosses val="autoZero"/>
        <c:auto val="1"/>
        <c:lblAlgn val="ctr"/>
        <c:lblOffset val="100"/>
        <c:noMultiLvlLbl val="0"/>
      </c:catAx>
      <c:valAx>
        <c:axId val="201479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71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222305</xdr:colOff>
      <xdr:row>28</xdr:row>
      <xdr:rowOff>88127</xdr:rowOff>
    </xdr:from>
    <xdr:to>
      <xdr:col>7</xdr:col>
      <xdr:colOff>48370</xdr:colOff>
      <xdr:row>42</xdr:row>
      <xdr:rowOff>156707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A5FA113-9BC1-4D25-AD1F-1F865BF72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279620</xdr:colOff>
      <xdr:row>28</xdr:row>
      <xdr:rowOff>86802</xdr:rowOff>
    </xdr:from>
    <xdr:to>
      <xdr:col>11</xdr:col>
      <xdr:colOff>152400</xdr:colOff>
      <xdr:row>38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4A4EC06-CD5A-46BF-9FAC-845A61549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3"/>
  <sheetViews>
    <sheetView tabSelected="1" topLeftCell="B55" zoomScaleNormal="100" workbookViewId="0">
      <selection activeCell="J77" sqref="J77"/>
    </sheetView>
  </sheetViews>
  <sheetFormatPr defaultRowHeight="14.4" x14ac:dyDescent="0.3"/>
  <cols>
    <col min="1" max="1" width="11.44140625" customWidth="1"/>
    <col min="2" max="2" width="9.6640625" customWidth="1"/>
    <col min="4" max="4" width="15.5546875" customWidth="1"/>
    <col min="5" max="5" width="16.109375" customWidth="1"/>
    <col min="6" max="6" width="13" bestFit="1" customWidth="1"/>
    <col min="7" max="7" width="14.5546875" customWidth="1"/>
    <col min="8" max="8" width="13.5546875" customWidth="1"/>
    <col min="9" max="9" width="10.88671875" customWidth="1"/>
    <col min="10" max="10" width="20.6640625" customWidth="1"/>
    <col min="11" max="11" width="14.33203125" customWidth="1"/>
    <col min="12" max="12" width="25.5546875" bestFit="1" customWidth="1"/>
    <col min="13" max="13" width="23" bestFit="1" customWidth="1"/>
    <col min="14" max="14" width="19.6640625" bestFit="1" customWidth="1"/>
    <col min="15" max="15" width="24.6640625" bestFit="1" customWidth="1"/>
    <col min="16" max="16" width="24.44140625" bestFit="1" customWidth="1"/>
    <col min="17" max="17" width="20.44140625" customWidth="1"/>
  </cols>
  <sheetData>
    <row r="1" spans="1:19" x14ac:dyDescent="0.3">
      <c r="A1" s="43" t="s">
        <v>0</v>
      </c>
      <c r="B1" s="44">
        <v>2</v>
      </c>
      <c r="C1" s="43" t="s">
        <v>3</v>
      </c>
      <c r="D1" s="45">
        <f>COUNT(A5:J14)</f>
        <v>100</v>
      </c>
      <c r="E1" s="43" t="s">
        <v>2</v>
      </c>
      <c r="F1" s="45">
        <f>MAX(A5:J14)</f>
        <v>17.579999999999998</v>
      </c>
      <c r="G1" s="43" t="s">
        <v>4</v>
      </c>
      <c r="H1" s="45">
        <f>MIN(A5:J14)</f>
        <v>-9.7899999999999991</v>
      </c>
    </row>
    <row r="2" spans="1:19" ht="30" customHeight="1" x14ac:dyDescent="0.3">
      <c r="A2" s="43" t="s">
        <v>1</v>
      </c>
      <c r="B2" s="44">
        <v>5</v>
      </c>
      <c r="C2" s="43" t="s">
        <v>5</v>
      </c>
      <c r="D2" s="45">
        <f>(F1-H1)/7</f>
        <v>3.9099999999999997</v>
      </c>
      <c r="E2" s="46" t="s">
        <v>6</v>
      </c>
      <c r="F2" s="45">
        <v>7</v>
      </c>
      <c r="G2" s="70" t="s">
        <v>24</v>
      </c>
      <c r="H2" s="45">
        <f>_xlfn.STDEV.S(A5:J14)</f>
        <v>4.9645784432916322</v>
      </c>
    </row>
    <row r="3" spans="1:19" ht="100.8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7"/>
      <c r="O3" s="26" t="s">
        <v>26</v>
      </c>
      <c r="P3" s="27" t="s">
        <v>27</v>
      </c>
      <c r="Q3" s="28" t="s">
        <v>28</v>
      </c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20">
        <f>_xlfn.NORM.DIST(D18, $B$1, $B$2, TRUE)</f>
        <v>9.1868464789495521E-3</v>
      </c>
      <c r="P4" s="19">
        <f>H18/$B$26</f>
        <v>8.9999999999999998E-4</v>
      </c>
      <c r="Q4" s="18">
        <f>ABS(O4-P4)</f>
        <v>8.2868464789495524E-3</v>
      </c>
    </row>
    <row r="5" spans="1:19" x14ac:dyDescent="0.3">
      <c r="A5" s="3">
        <v>5.9050000000000002</v>
      </c>
      <c r="B5" s="3">
        <v>2.089</v>
      </c>
      <c r="C5" s="3">
        <v>-0.54</v>
      </c>
      <c r="D5" s="3">
        <v>-1.76</v>
      </c>
      <c r="E5" s="3">
        <v>-0.32</v>
      </c>
      <c r="F5" s="3">
        <v>2.653</v>
      </c>
      <c r="G5" s="3">
        <v>2.5910000000000002</v>
      </c>
      <c r="H5" s="3">
        <v>-0.77</v>
      </c>
      <c r="I5" s="3">
        <v>-8.7200000000000006</v>
      </c>
      <c r="J5" s="3">
        <v>-6.09</v>
      </c>
      <c r="K5" s="1"/>
      <c r="L5" s="47" t="s">
        <v>10</v>
      </c>
      <c r="M5" s="47" t="s">
        <v>11</v>
      </c>
      <c r="O5" s="20">
        <f>_xlfn.NORM.DIST(D19, $B$1, $B$2, TRUE)</f>
        <v>0.2135977156743803</v>
      </c>
      <c r="P5" s="19">
        <f>H19/$B$26</f>
        <v>2E-3</v>
      </c>
      <c r="Q5" s="18">
        <f t="shared" ref="Q5:Q9" si="0">ABS(O5-P5)</f>
        <v>0.21159771567438029</v>
      </c>
    </row>
    <row r="6" spans="1:19" x14ac:dyDescent="0.3">
      <c r="A6" s="4">
        <v>2.7519999999999998</v>
      </c>
      <c r="B6" s="4">
        <v>8.5090000000000003</v>
      </c>
      <c r="C6" s="4">
        <v>3.6579999999999999</v>
      </c>
      <c r="D6" s="4">
        <v>3.5830000000000002</v>
      </c>
      <c r="E6" s="4">
        <v>-0.91</v>
      </c>
      <c r="F6" s="4">
        <v>0.96</v>
      </c>
      <c r="G6" s="4">
        <v>-3.7</v>
      </c>
      <c r="H6" s="4">
        <v>6.593</v>
      </c>
      <c r="I6" s="4">
        <v>-2.09</v>
      </c>
      <c r="J6" s="4">
        <v>5.8000000000000003E-2</v>
      </c>
      <c r="K6" s="1"/>
      <c r="L6" s="48">
        <f>AVERAGE(A5:J14)</f>
        <v>1.9904599999999999</v>
      </c>
      <c r="M6" s="48">
        <f>VAR(A5:J14)</f>
        <v>24.647039119595963</v>
      </c>
      <c r="O6" s="20">
        <f>_xlfn.NORM.DIST(D20, $B$1, $B$2, TRUE)</f>
        <v>0.49521280752807789</v>
      </c>
      <c r="P6" s="19">
        <f>H20/$B$26</f>
        <v>5.0000000000000001E-3</v>
      </c>
      <c r="Q6" s="18">
        <f t="shared" si="0"/>
        <v>0.49021280752807789</v>
      </c>
    </row>
    <row r="7" spans="1:19" x14ac:dyDescent="0.3">
      <c r="A7" s="4">
        <v>1.0129999999999999</v>
      </c>
      <c r="B7" s="4">
        <v>-9.7899999999999991</v>
      </c>
      <c r="C7" s="4">
        <v>0.86199999999999999</v>
      </c>
      <c r="D7" s="4">
        <v>1.67</v>
      </c>
      <c r="E7" s="4">
        <v>4.8890000000000002</v>
      </c>
      <c r="F7" s="4">
        <v>1.696</v>
      </c>
      <c r="G7" s="4">
        <v>6.8559999999999999</v>
      </c>
      <c r="H7" s="4">
        <v>-6.17</v>
      </c>
      <c r="I7" s="4">
        <v>1.6060000000000001</v>
      </c>
      <c r="J7" s="4">
        <v>4.3049999999999997</v>
      </c>
      <c r="K7" s="1"/>
      <c r="L7" s="49" t="s">
        <v>12</v>
      </c>
      <c r="M7" s="49" t="s">
        <v>13</v>
      </c>
      <c r="O7" s="20">
        <f>_xlfn.NORM.DIST(D21, $B$1, $B$2, TRUE)</f>
        <v>0.77935005365735044</v>
      </c>
      <c r="P7" s="19">
        <f>H21/$B$26</f>
        <v>7.9000000000000008E-3</v>
      </c>
      <c r="Q7" s="18">
        <f t="shared" si="0"/>
        <v>0.77145005365735042</v>
      </c>
    </row>
    <row r="8" spans="1:19" x14ac:dyDescent="0.3">
      <c r="A8" s="4">
        <v>-2.78</v>
      </c>
      <c r="B8" s="4">
        <v>-0.23</v>
      </c>
      <c r="C8" s="4">
        <v>1.7629999999999999</v>
      </c>
      <c r="D8" s="4">
        <v>-6.66</v>
      </c>
      <c r="E8" s="4">
        <v>-5.0999999999999996</v>
      </c>
      <c r="F8" s="4">
        <v>12.8</v>
      </c>
      <c r="G8" s="4">
        <v>-2.02</v>
      </c>
      <c r="H8" s="4">
        <v>-1.87</v>
      </c>
      <c r="I8" s="4">
        <v>-5.89</v>
      </c>
      <c r="J8" s="4">
        <v>4.2560000000000002</v>
      </c>
      <c r="K8" s="1"/>
      <c r="L8" s="48">
        <f>SKEW(A5:J14)</f>
        <v>0.18235498285320784</v>
      </c>
      <c r="M8" s="48">
        <f>KURT(A5:J14)</f>
        <v>0.5139573374792743</v>
      </c>
      <c r="O8" s="20">
        <f>_xlfn.NORM.DIST(D22, $B$1, $B$2, TRUE)</f>
        <v>0.93966888819592354</v>
      </c>
      <c r="P8" s="19">
        <f>H22/$B$26</f>
        <v>9.4000000000000004E-3</v>
      </c>
      <c r="Q8" s="18">
        <f t="shared" si="0"/>
        <v>0.93026888819592357</v>
      </c>
    </row>
    <row r="9" spans="1:19" x14ac:dyDescent="0.3">
      <c r="A9" s="4">
        <v>5.5540000000000003</v>
      </c>
      <c r="B9" s="4">
        <v>-2.16</v>
      </c>
      <c r="C9" s="4">
        <v>4.859</v>
      </c>
      <c r="D9" s="4">
        <v>-0.39</v>
      </c>
      <c r="E9" s="4">
        <v>3.7250000000000001</v>
      </c>
      <c r="F9" s="4">
        <v>-2.08</v>
      </c>
      <c r="G9" s="4">
        <v>5.3819999999999997</v>
      </c>
      <c r="H9" s="4">
        <v>-0.66</v>
      </c>
      <c r="I9" s="4">
        <v>5.4</v>
      </c>
      <c r="J9" s="4">
        <v>5.0620000000000003</v>
      </c>
      <c r="K9" s="1"/>
      <c r="L9" s="1"/>
      <c r="M9" s="1"/>
      <c r="O9" s="20">
        <f>_xlfn.NORM.DIST(D23, $B$1, $B$2, TRUE)</f>
        <v>0.99908338863773916</v>
      </c>
      <c r="P9" s="19">
        <f>H23/$B$26</f>
        <v>0.01</v>
      </c>
      <c r="Q9" s="18">
        <f t="shared" si="0"/>
        <v>0.98908338863773915</v>
      </c>
    </row>
    <row r="10" spans="1:19" x14ac:dyDescent="0.3">
      <c r="A10" s="4">
        <v>0.67300000000000004</v>
      </c>
      <c r="B10" s="4">
        <v>-1.57</v>
      </c>
      <c r="C10" s="4">
        <v>5.8760000000000003</v>
      </c>
      <c r="D10" s="4">
        <v>4.4089999999999998</v>
      </c>
      <c r="E10" s="4">
        <v>3.7749999999999999</v>
      </c>
      <c r="F10" s="4">
        <v>1.657</v>
      </c>
      <c r="G10" s="4">
        <v>-0.52</v>
      </c>
      <c r="H10" s="4">
        <v>-7.42</v>
      </c>
      <c r="I10" s="4">
        <v>11.83</v>
      </c>
      <c r="J10" s="4">
        <v>9.0730000000000004</v>
      </c>
      <c r="K10" s="1"/>
      <c r="L10" s="1"/>
      <c r="M10" s="1"/>
      <c r="O10" s="17"/>
    </row>
    <row r="11" spans="1:19" x14ac:dyDescent="0.3">
      <c r="A11" s="4">
        <v>7.5739999999999998</v>
      </c>
      <c r="B11" s="4">
        <v>5.8529999999999998</v>
      </c>
      <c r="C11" s="4">
        <v>12.65</v>
      </c>
      <c r="D11" s="4">
        <v>1.74</v>
      </c>
      <c r="E11" s="4">
        <v>0.56599999999999995</v>
      </c>
      <c r="F11" s="4">
        <v>6.6269999999999998</v>
      </c>
      <c r="G11" s="4">
        <v>2.0470000000000002</v>
      </c>
      <c r="H11" s="4">
        <v>3.3260000000000001</v>
      </c>
      <c r="I11" s="4">
        <v>-6.31</v>
      </c>
      <c r="J11" s="4">
        <v>1.2569999999999999</v>
      </c>
      <c r="K11" s="1"/>
      <c r="L11" s="1"/>
      <c r="M11" s="1"/>
      <c r="O11" s="17"/>
      <c r="P11" s="24" t="s">
        <v>29</v>
      </c>
      <c r="Q11" s="22">
        <f>MAX(Q4:Q9)</f>
        <v>0.98908338863773915</v>
      </c>
    </row>
    <row r="12" spans="1:19" ht="28.8" x14ac:dyDescent="0.3">
      <c r="A12" s="4">
        <v>4.6890000000000001</v>
      </c>
      <c r="B12" s="4">
        <v>-1.38</v>
      </c>
      <c r="C12" s="4">
        <v>-3.85</v>
      </c>
      <c r="D12" s="4">
        <v>9.8360000000000003</v>
      </c>
      <c r="E12" s="4">
        <v>6.4390000000000001</v>
      </c>
      <c r="F12" s="4">
        <v>6.1079999999999997</v>
      </c>
      <c r="G12" s="4">
        <v>6.0250000000000004</v>
      </c>
      <c r="H12" s="4">
        <v>-0.55000000000000004</v>
      </c>
      <c r="I12" s="4">
        <v>6.0350000000000001</v>
      </c>
      <c r="J12" s="4">
        <v>-3.47</v>
      </c>
      <c r="K12" s="1"/>
      <c r="L12" s="1"/>
      <c r="M12" s="1"/>
      <c r="O12" s="17"/>
      <c r="P12" s="25" t="s">
        <v>30</v>
      </c>
      <c r="Q12" s="23">
        <v>1.3580000000000001</v>
      </c>
    </row>
    <row r="13" spans="1:19" x14ac:dyDescent="0.3">
      <c r="A13" s="3">
        <v>2.0150000000000001</v>
      </c>
      <c r="B13" s="3">
        <v>-1.23</v>
      </c>
      <c r="C13" s="3">
        <v>5.2460000000000004</v>
      </c>
      <c r="D13" s="3">
        <v>3.2730000000000001</v>
      </c>
      <c r="E13" s="3">
        <v>7.7549999999999999</v>
      </c>
      <c r="F13" s="3">
        <v>4.351</v>
      </c>
      <c r="G13" s="3">
        <v>-0.19</v>
      </c>
      <c r="H13" s="3">
        <v>6.3780000000000001</v>
      </c>
      <c r="I13" s="3">
        <v>4.5819999999999999</v>
      </c>
      <c r="J13" s="3">
        <v>5.1760000000000002</v>
      </c>
      <c r="K13" s="1"/>
      <c r="L13" s="1"/>
      <c r="M13" s="1"/>
      <c r="O13" s="29" t="s">
        <v>47</v>
      </c>
    </row>
    <row r="14" spans="1:19" x14ac:dyDescent="0.3">
      <c r="A14" s="3">
        <v>13</v>
      </c>
      <c r="B14" s="3">
        <v>-2.34</v>
      </c>
      <c r="C14" s="3">
        <v>-7.11</v>
      </c>
      <c r="D14" s="3">
        <v>4.1399999999999997</v>
      </c>
      <c r="E14" s="3">
        <v>-2.56</v>
      </c>
      <c r="F14" s="3">
        <v>-1.05</v>
      </c>
      <c r="G14" s="3">
        <v>17.579999999999998</v>
      </c>
      <c r="H14" s="3">
        <v>3.33</v>
      </c>
      <c r="I14" s="3">
        <v>2.8540000000000001</v>
      </c>
      <c r="J14" s="3">
        <v>0.502</v>
      </c>
      <c r="K14" s="1"/>
      <c r="L14" s="1"/>
      <c r="M14" s="1"/>
      <c r="O14" s="59" t="s">
        <v>25</v>
      </c>
      <c r="P14" s="59"/>
      <c r="Q14" s="59"/>
      <c r="R14" s="59"/>
      <c r="S14" s="59"/>
    </row>
    <row r="17" spans="1:14" ht="43.2" x14ac:dyDescent="0.3">
      <c r="A17" s="5" t="s">
        <v>23</v>
      </c>
      <c r="B17" s="8" t="s">
        <v>61</v>
      </c>
      <c r="C17" s="2"/>
      <c r="D17" s="9" t="s">
        <v>21</v>
      </c>
      <c r="E17" s="9" t="s">
        <v>22</v>
      </c>
      <c r="F17" s="10"/>
      <c r="G17" s="8" t="s">
        <v>8</v>
      </c>
      <c r="H17" s="8" t="s">
        <v>9</v>
      </c>
      <c r="J17" s="9" t="s">
        <v>14</v>
      </c>
      <c r="K17" s="9" t="s">
        <v>15</v>
      </c>
      <c r="L17" s="9" t="s">
        <v>62</v>
      </c>
      <c r="M17" s="9" t="s">
        <v>18</v>
      </c>
      <c r="N17" s="9" t="s">
        <v>17</v>
      </c>
    </row>
    <row r="18" spans="1:14" x14ac:dyDescent="0.3">
      <c r="A18" s="6">
        <f>H1</f>
        <v>-9.7899999999999991</v>
      </c>
      <c r="B18" s="6">
        <f t="array" ref="B18:B25">FREQUENCY(A5:J14,A18:A25)</f>
        <v>1</v>
      </c>
      <c r="C18" s="2">
        <f>B18/$D$2/100</f>
        <v>2.5575447570332483E-3</v>
      </c>
      <c r="D18" s="6">
        <v>-9.7899999999999991</v>
      </c>
      <c r="E18" s="6">
        <v>9</v>
      </c>
      <c r="F18" s="2">
        <f>E18/(D19-D18)</f>
        <v>1.1508951406649617</v>
      </c>
      <c r="G18" s="6">
        <f>E18/$B$26</f>
        <v>0.09</v>
      </c>
      <c r="H18" s="6">
        <f>SUM($G$18:G18)</f>
        <v>0.09</v>
      </c>
      <c r="J18" s="6">
        <v>-9.7899999999999991</v>
      </c>
      <c r="K18" s="12">
        <f t="shared" ref="K18:K23" si="1">NORMDIST(J18, $B$1, $B$2, FALSE)</f>
        <v>4.9495508413550538E-3</v>
      </c>
      <c r="L18" s="12">
        <f>_xlfn.NORM.DIST(A18, $B$1, $B$2,FALSE)*$D$2</f>
        <v>1.935274378969826E-2</v>
      </c>
      <c r="M18" s="11">
        <f>_xlfn.NORM.DIST(A18, $B$1, $B$2, TRUE) - _xlfn.NORM.DIST(-10, $B$1, $B$2,TRUE)</f>
        <v>9.89310554353421E-4</v>
      </c>
      <c r="N18" s="13">
        <f>M18*100</f>
        <v>9.89310554353421E-2</v>
      </c>
    </row>
    <row r="19" spans="1:14" x14ac:dyDescent="0.3">
      <c r="A19" s="6">
        <f t="shared" ref="A19:A25" si="2">A18+$D$2</f>
        <v>-5.879999999999999</v>
      </c>
      <c r="B19" s="6">
        <v>8</v>
      </c>
      <c r="C19" s="2">
        <f t="shared" ref="C19:C25" si="3">B19/$D$2/100</f>
        <v>2.0460358056265986E-2</v>
      </c>
      <c r="D19" s="6">
        <v>-1.9699999999999993</v>
      </c>
      <c r="E19" s="6">
        <v>11</v>
      </c>
      <c r="F19" s="2">
        <f t="shared" ref="F19:F23" si="4">E19/(D20-D19)</f>
        <v>2.8132992327365729</v>
      </c>
      <c r="G19" s="6">
        <f t="shared" ref="G19:G25" si="5">E19/$B$26</f>
        <v>0.11</v>
      </c>
      <c r="H19" s="6">
        <f>SUM($G$18:G19)</f>
        <v>0.2</v>
      </c>
      <c r="J19" s="6">
        <v>-1.9699999999999993</v>
      </c>
      <c r="K19" s="12">
        <f t="shared" si="1"/>
        <v>5.8216035063424626E-2</v>
      </c>
      <c r="L19" s="12">
        <f t="shared" ref="L19:L25" si="6">_xlfn.NORM.DIST(A19, $B$1, $B$2,FALSE)*$D$2</f>
        <v>9.01097351755418E-2</v>
      </c>
      <c r="M19" s="11">
        <f>_xlfn.NORM.DIST(A19, $B$1, $B$2, TRUE) - _xlfn.NORM.DIST(A18, $B$1, $B$2,TRUE)</f>
        <v>4.8326055127219464E-2</v>
      </c>
      <c r="N19" s="13">
        <f t="shared" ref="N19:N22" si="7">M19*100</f>
        <v>4.8326055127219467</v>
      </c>
    </row>
    <row r="20" spans="1:14" x14ac:dyDescent="0.3">
      <c r="A20" s="6">
        <f t="shared" si="2"/>
        <v>-1.9699999999999993</v>
      </c>
      <c r="B20" s="6">
        <v>11</v>
      </c>
      <c r="C20" s="2">
        <f t="shared" si="3"/>
        <v>2.8132992327365727E-2</v>
      </c>
      <c r="D20" s="6">
        <v>1.9400000000000004</v>
      </c>
      <c r="E20" s="6">
        <v>30</v>
      </c>
      <c r="F20" s="2">
        <f t="shared" si="4"/>
        <v>7.6726342710997457</v>
      </c>
      <c r="G20" s="6">
        <f t="shared" si="5"/>
        <v>0.3</v>
      </c>
      <c r="H20" s="6">
        <f>SUM($G$18:G20)</f>
        <v>0.5</v>
      </c>
      <c r="J20" s="6">
        <v>1.9400000000000004</v>
      </c>
      <c r="K20" s="12">
        <f t="shared" si="1"/>
        <v>7.9782711518255472E-2</v>
      </c>
      <c r="L20" s="12">
        <f t="shared" si="6"/>
        <v>0.22762469709799027</v>
      </c>
      <c r="M20" s="11">
        <f t="shared" ref="M20:M25" si="8">_xlfn.NORM.DIST(A20, $B$1, $B$2, TRUE) - _xlfn.NORM.DIST(A19, $B$1, $B$2,TRUE)</f>
        <v>0.15608481406821129</v>
      </c>
      <c r="N20" s="13">
        <f t="shared" si="7"/>
        <v>15.608481406821129</v>
      </c>
    </row>
    <row r="21" spans="1:14" x14ac:dyDescent="0.3">
      <c r="A21" s="6">
        <f t="shared" si="2"/>
        <v>1.9400000000000004</v>
      </c>
      <c r="B21" s="6">
        <v>30</v>
      </c>
      <c r="C21" s="2">
        <f t="shared" si="3"/>
        <v>7.6726342710997444E-2</v>
      </c>
      <c r="D21" s="6">
        <v>5.85</v>
      </c>
      <c r="E21" s="6">
        <v>29</v>
      </c>
      <c r="F21" s="2">
        <f t="shared" si="4"/>
        <v>7.4168797953964187</v>
      </c>
      <c r="G21" s="6">
        <f t="shared" si="5"/>
        <v>0.28999999999999998</v>
      </c>
      <c r="H21" s="6">
        <f>SUM($G$18:G21)</f>
        <v>0.79</v>
      </c>
      <c r="J21" s="6">
        <v>5.85</v>
      </c>
      <c r="K21" s="12">
        <f t="shared" si="1"/>
        <v>5.9318950998763158E-2</v>
      </c>
      <c r="L21" s="12">
        <f t="shared" si="6"/>
        <v>0.31195040203637886</v>
      </c>
      <c r="M21" s="11">
        <f t="shared" si="8"/>
        <v>0.2816150918536976</v>
      </c>
      <c r="N21" s="13">
        <f t="shared" si="7"/>
        <v>28.161509185369759</v>
      </c>
    </row>
    <row r="22" spans="1:14" x14ac:dyDescent="0.3">
      <c r="A22" s="6">
        <f t="shared" si="2"/>
        <v>5.85</v>
      </c>
      <c r="B22" s="6">
        <v>29</v>
      </c>
      <c r="C22" s="2">
        <f t="shared" si="3"/>
        <v>7.4168797953964194E-2</v>
      </c>
      <c r="D22" s="6">
        <v>9.76</v>
      </c>
      <c r="E22" s="6">
        <v>15</v>
      </c>
      <c r="F22" s="2">
        <f t="shared" si="4"/>
        <v>1.9181585677749364</v>
      </c>
      <c r="G22" s="6">
        <f t="shared" si="5"/>
        <v>0.15</v>
      </c>
      <c r="H22" s="6">
        <f>SUM($G$18:G22)</f>
        <v>0.94000000000000006</v>
      </c>
      <c r="J22" s="6">
        <v>9.76</v>
      </c>
      <c r="K22" s="12">
        <f t="shared" si="1"/>
        <v>2.3927461913562341E-2</v>
      </c>
      <c r="L22" s="12">
        <f t="shared" si="6"/>
        <v>0.23193709840516394</v>
      </c>
      <c r="M22" s="11">
        <f t="shared" si="8"/>
        <v>0.28413724612927255</v>
      </c>
      <c r="N22" s="13">
        <f t="shared" si="7"/>
        <v>28.413724612927254</v>
      </c>
    </row>
    <row r="23" spans="1:14" x14ac:dyDescent="0.3">
      <c r="A23" s="6">
        <f t="shared" si="2"/>
        <v>9.76</v>
      </c>
      <c r="B23" s="6">
        <v>15</v>
      </c>
      <c r="C23" s="2">
        <f t="shared" si="3"/>
        <v>3.8363171355498722E-2</v>
      </c>
      <c r="D23" s="6">
        <v>17.579999999999998</v>
      </c>
      <c r="E23" s="6">
        <v>6</v>
      </c>
      <c r="F23" s="2">
        <f>E23/(D24-D23)</f>
        <v>-0.34129692832764508</v>
      </c>
      <c r="G23" s="6">
        <f t="shared" si="5"/>
        <v>0.06</v>
      </c>
      <c r="H23" s="6">
        <f>SUM($G$18:G23)</f>
        <v>1</v>
      </c>
      <c r="J23" s="6">
        <v>17.579999999999998</v>
      </c>
      <c r="K23" s="12">
        <f t="shared" si="1"/>
        <v>6.216679528439215E-4</v>
      </c>
      <c r="L23" s="12">
        <f t="shared" si="6"/>
        <v>9.3556376082028742E-2</v>
      </c>
      <c r="M23" s="11">
        <f t="shared" si="8"/>
        <v>0.1603188345385731</v>
      </c>
      <c r="N23" s="13">
        <f>M23*100</f>
        <v>16.031883453857311</v>
      </c>
    </row>
    <row r="24" spans="1:14" x14ac:dyDescent="0.3">
      <c r="A24" s="6">
        <f t="shared" si="2"/>
        <v>13.67</v>
      </c>
      <c r="B24" s="6">
        <v>5</v>
      </c>
      <c r="C24" s="2">
        <f t="shared" si="3"/>
        <v>1.278772378516624E-2</v>
      </c>
      <c r="F24" s="2"/>
      <c r="L24" s="12">
        <f t="shared" si="6"/>
        <v>2.0473640046556999E-2</v>
      </c>
      <c r="M24" s="11">
        <f t="shared" si="8"/>
        <v>5.0533250844045807E-2</v>
      </c>
      <c r="N24" s="13">
        <f t="shared" ref="N24:N25" si="9">M24*100</f>
        <v>5.0533250844045803</v>
      </c>
    </row>
    <row r="25" spans="1:14" x14ac:dyDescent="0.3">
      <c r="A25" s="6">
        <f t="shared" si="2"/>
        <v>17.579999999999998</v>
      </c>
      <c r="B25" s="6">
        <v>1</v>
      </c>
      <c r="C25" s="2">
        <f t="shared" si="3"/>
        <v>2.5575447570332483E-3</v>
      </c>
      <c r="F25" s="2"/>
      <c r="L25" s="12">
        <f t="shared" si="6"/>
        <v>2.4307216956197331E-3</v>
      </c>
      <c r="M25" s="11">
        <f>_xlfn.NORM.DIST(A25, $B$1, $B$2, TRUE) - _xlfn.NORM.DIST(A24, $B$1, $B$2,TRUE)</f>
        <v>8.8812495977698136E-3</v>
      </c>
      <c r="N25" s="13">
        <f t="shared" si="9"/>
        <v>0.88812495977698136</v>
      </c>
    </row>
    <row r="26" spans="1:14" x14ac:dyDescent="0.3">
      <c r="A26" s="2"/>
      <c r="B26" s="2">
        <f>SUM(B18:B25)</f>
        <v>100</v>
      </c>
      <c r="C26" s="2"/>
      <c r="D26" s="2"/>
      <c r="E26" s="2"/>
      <c r="F26" s="2"/>
      <c r="G26" s="2"/>
      <c r="H26" s="2"/>
    </row>
    <row r="27" spans="1:14" x14ac:dyDescent="0.3">
      <c r="N27" s="9" t="s">
        <v>16</v>
      </c>
    </row>
    <row r="28" spans="1:14" x14ac:dyDescent="0.3">
      <c r="N28" s="11">
        <f>POWER(B18-N18,2)/N18</f>
        <v>8.2069805005720653</v>
      </c>
    </row>
    <row r="29" spans="1:14" x14ac:dyDescent="0.3">
      <c r="N29" s="11">
        <f t="shared" ref="N29:N35" si="10">POWER(B19-N19,2)/N19</f>
        <v>2.0759790575971713</v>
      </c>
    </row>
    <row r="30" spans="1:14" x14ac:dyDescent="0.3">
      <c r="N30" s="11">
        <f t="shared" si="10"/>
        <v>1.3606769501442144</v>
      </c>
    </row>
    <row r="31" spans="1:14" x14ac:dyDescent="0.3">
      <c r="N31" s="11">
        <f t="shared" si="10"/>
        <v>0.12002369806358751</v>
      </c>
    </row>
    <row r="32" spans="1:14" x14ac:dyDescent="0.3">
      <c r="N32" s="11">
        <f t="shared" si="10"/>
        <v>1.2096929711598528E-2</v>
      </c>
    </row>
    <row r="33" spans="1:17" x14ac:dyDescent="0.3">
      <c r="N33" s="11">
        <f t="shared" si="10"/>
        <v>6.6416616950162807E-2</v>
      </c>
    </row>
    <row r="34" spans="1:17" x14ac:dyDescent="0.3">
      <c r="N34" s="11">
        <f>POWER(B24-N24,2)/N24</f>
        <v>5.6271159667351206E-4</v>
      </c>
    </row>
    <row r="35" spans="1:17" x14ac:dyDescent="0.3">
      <c r="N35" s="11">
        <f t="shared" si="10"/>
        <v>1.4092639202534021E-2</v>
      </c>
    </row>
    <row r="37" spans="1:17" x14ac:dyDescent="0.3">
      <c r="N37" s="11">
        <f>SUM(N28:N35)</f>
        <v>11.856829103838006</v>
      </c>
      <c r="O37" s="14" t="s">
        <v>20</v>
      </c>
    </row>
    <row r="38" spans="1:17" x14ac:dyDescent="0.3">
      <c r="M38" s="21"/>
      <c r="N38" s="16">
        <f>_xlfn.CHISQ.INV.RT(0.05, 7)</f>
        <v>14.067140449340167</v>
      </c>
      <c r="O38" s="15" t="s">
        <v>19</v>
      </c>
    </row>
    <row r="40" spans="1:17" x14ac:dyDescent="0.3">
      <c r="M40" s="58" t="s">
        <v>25</v>
      </c>
      <c r="N40" s="58"/>
      <c r="O40" s="58"/>
      <c r="P40" s="58"/>
      <c r="Q40" s="58"/>
    </row>
    <row r="45" spans="1:17" x14ac:dyDescent="0.3">
      <c r="A45" s="33" t="s">
        <v>35</v>
      </c>
      <c r="B45" s="33" t="s">
        <v>31</v>
      </c>
      <c r="C45" s="34" t="s">
        <v>32</v>
      </c>
      <c r="D45" s="33" t="s">
        <v>33</v>
      </c>
      <c r="E45" s="33" t="s">
        <v>34</v>
      </c>
      <c r="F45" s="33" t="s">
        <v>36</v>
      </c>
      <c r="G45" s="33" t="s">
        <v>37</v>
      </c>
    </row>
    <row r="46" spans="1:17" x14ac:dyDescent="0.3">
      <c r="A46" s="31">
        <v>1</v>
      </c>
      <c r="B46" s="3">
        <v>5.9050000000000002</v>
      </c>
      <c r="C46" s="4">
        <v>-9.7899999999999991</v>
      </c>
      <c r="D46" s="31">
        <f>(A46/100)-(_xlfn.NORM.DIST(C46,2,5,TRUE))</f>
        <v>8.1315352105044807E-4</v>
      </c>
      <c r="E46" s="31">
        <f>(_xlfn.NORM.DIST(C46,2,5,TRUE))-(A46-1)/100</f>
        <v>9.1868464789495521E-3</v>
      </c>
      <c r="F46" s="30">
        <f>MAX(D46:D145)</f>
        <v>6.73789394124924E-2</v>
      </c>
      <c r="G46" s="30">
        <f>MAX(E46:E145)</f>
        <v>4.270447225369961E-2</v>
      </c>
    </row>
    <row r="47" spans="1:17" x14ac:dyDescent="0.3">
      <c r="A47" s="31">
        <v>2</v>
      </c>
      <c r="B47" s="4">
        <v>2.7519999999999998</v>
      </c>
      <c r="C47" s="3">
        <v>-8.7200000000000006</v>
      </c>
      <c r="D47" s="31">
        <f t="shared" ref="D47:D110" si="11">(A47/100)-(_xlfn.NORM.DIST(C47,2,5,TRUE))</f>
        <v>3.9835566076014024E-3</v>
      </c>
      <c r="E47" s="31">
        <f t="shared" ref="E47:E110" si="12">(_xlfn.NORM.DIST(C47,2,5,TRUE))-(A47-1)/100</f>
        <v>6.0164433923985978E-3</v>
      </c>
      <c r="I47" s="61" t="s">
        <v>45</v>
      </c>
      <c r="J47" s="61"/>
      <c r="K47" s="61"/>
      <c r="L47" s="37"/>
    </row>
    <row r="48" spans="1:17" x14ac:dyDescent="0.3">
      <c r="A48" s="31">
        <v>3</v>
      </c>
      <c r="B48" s="4">
        <v>1.0129999999999999</v>
      </c>
      <c r="C48" s="4">
        <v>-7.42</v>
      </c>
      <c r="D48" s="31">
        <f t="shared" si="11"/>
        <v>2.1751226540256408E-4</v>
      </c>
      <c r="E48" s="31">
        <f t="shared" si="12"/>
        <v>9.7824877345974344E-3</v>
      </c>
    </row>
    <row r="49" spans="1:13" x14ac:dyDescent="0.3">
      <c r="A49" s="31">
        <v>4</v>
      </c>
      <c r="B49" s="4">
        <v>-2.78</v>
      </c>
      <c r="C49" s="3">
        <v>-7.11</v>
      </c>
      <c r="D49" s="31">
        <f t="shared" si="11"/>
        <v>5.7725071747221218E-3</v>
      </c>
      <c r="E49" s="31">
        <f t="shared" si="12"/>
        <v>4.2274928252778801E-3</v>
      </c>
      <c r="G49" s="18"/>
      <c r="H49" s="60" t="s">
        <v>38</v>
      </c>
      <c r="I49" s="60"/>
      <c r="J49" s="60"/>
      <c r="K49" s="36">
        <f>MAX(F46:G46)</f>
        <v>6.73789394124924E-2</v>
      </c>
    </row>
    <row r="50" spans="1:13" x14ac:dyDescent="0.3">
      <c r="A50" s="31">
        <v>5</v>
      </c>
      <c r="B50" s="4">
        <v>5.5540000000000003</v>
      </c>
      <c r="C50" s="4">
        <v>-6.66</v>
      </c>
      <c r="D50" s="31">
        <f t="shared" si="11"/>
        <v>8.3632187798783272E-3</v>
      </c>
      <c r="E50" s="31">
        <f t="shared" si="12"/>
        <v>1.6367812201216747E-3</v>
      </c>
      <c r="G50" s="60" t="s">
        <v>39</v>
      </c>
      <c r="H50" s="60"/>
      <c r="I50" s="60"/>
      <c r="J50" s="60"/>
      <c r="K50" s="36">
        <f>SQRT(-1*LN(0.05/2)/(2*100)) - 1/(6*100)</f>
        <v>0.13414348490739528</v>
      </c>
    </row>
    <row r="51" spans="1:13" x14ac:dyDescent="0.3">
      <c r="A51" s="31">
        <v>6</v>
      </c>
      <c r="B51" s="4">
        <v>0.67300000000000004</v>
      </c>
      <c r="C51" s="4">
        <v>-6.31</v>
      </c>
      <c r="D51" s="31">
        <f t="shared" si="11"/>
        <v>1.1743612758868968E-2</v>
      </c>
      <c r="E51" s="31">
        <f t="shared" si="12"/>
        <v>-1.7436127588689732E-3</v>
      </c>
    </row>
    <row r="52" spans="1:13" x14ac:dyDescent="0.3">
      <c r="A52" s="31">
        <v>7</v>
      </c>
      <c r="B52" s="4">
        <v>7.5739999999999998</v>
      </c>
      <c r="C52" s="4">
        <v>-6.17</v>
      </c>
      <c r="D52" s="31">
        <f t="shared" si="11"/>
        <v>1.8870574701791196E-2</v>
      </c>
      <c r="E52" s="31">
        <f t="shared" si="12"/>
        <v>-8.8705747017911868E-3</v>
      </c>
      <c r="G52" s="59" t="s">
        <v>25</v>
      </c>
      <c r="H52" s="59"/>
      <c r="I52" s="59"/>
      <c r="J52" s="59"/>
      <c r="K52" s="59"/>
      <c r="L52" s="59"/>
    </row>
    <row r="53" spans="1:13" x14ac:dyDescent="0.3">
      <c r="A53" s="31">
        <v>8</v>
      </c>
      <c r="B53" s="4">
        <v>4.6890000000000001</v>
      </c>
      <c r="C53" s="3">
        <v>-6.09</v>
      </c>
      <c r="D53" s="31">
        <f t="shared" si="11"/>
        <v>2.716870116725411E-2</v>
      </c>
      <c r="E53" s="31">
        <f t="shared" si="12"/>
        <v>-1.7168701167254115E-2</v>
      </c>
    </row>
    <row r="54" spans="1:13" x14ac:dyDescent="0.3">
      <c r="A54" s="31">
        <v>9</v>
      </c>
      <c r="B54" s="3">
        <v>2.0150000000000001</v>
      </c>
      <c r="C54" s="4">
        <v>-5.89</v>
      </c>
      <c r="D54" s="31">
        <f t="shared" si="11"/>
        <v>3.2717195098159277E-2</v>
      </c>
      <c r="E54" s="31">
        <f t="shared" si="12"/>
        <v>-2.2717195098159282E-2</v>
      </c>
      <c r="H54" s="61" t="s">
        <v>46</v>
      </c>
      <c r="I54" s="61"/>
      <c r="J54" s="61"/>
      <c r="K54" s="61"/>
    </row>
    <row r="55" spans="1:13" x14ac:dyDescent="0.3">
      <c r="A55" s="31">
        <v>10</v>
      </c>
      <c r="B55" s="3">
        <v>13</v>
      </c>
      <c r="C55" s="4">
        <v>-5.0999999999999996</v>
      </c>
      <c r="D55" s="31">
        <f t="shared" si="11"/>
        <v>2.2196159473453658E-2</v>
      </c>
      <c r="E55" s="31">
        <f t="shared" si="12"/>
        <v>-1.2196159473453649E-2</v>
      </c>
      <c r="G55" s="38"/>
    </row>
    <row r="56" spans="1:13" x14ac:dyDescent="0.3">
      <c r="A56" s="31">
        <v>11</v>
      </c>
      <c r="B56" s="3">
        <v>2.089</v>
      </c>
      <c r="C56" s="4">
        <v>-3.85</v>
      </c>
      <c r="D56" s="31">
        <f t="shared" si="11"/>
        <v>-1.1000484421018183E-2</v>
      </c>
      <c r="E56" s="31">
        <f t="shared" si="12"/>
        <v>2.1000484421018178E-2</v>
      </c>
      <c r="G56" s="60" t="s">
        <v>41</v>
      </c>
      <c r="H56" s="60"/>
      <c r="I56" s="60"/>
      <c r="J56" s="60"/>
      <c r="K56" s="41">
        <f>SUM(M57:M156)</f>
        <v>0.13009696430501289</v>
      </c>
      <c r="M56" s="33" t="s">
        <v>40</v>
      </c>
    </row>
    <row r="57" spans="1:13" ht="31.5" customHeight="1" x14ac:dyDescent="0.3">
      <c r="A57" s="31">
        <v>12</v>
      </c>
      <c r="B57" s="4">
        <v>8.5090000000000003</v>
      </c>
      <c r="C57" s="4">
        <v>-3.7</v>
      </c>
      <c r="D57" s="31">
        <f t="shared" si="11"/>
        <v>-7.1431505627982117E-3</v>
      </c>
      <c r="E57" s="31">
        <f t="shared" si="12"/>
        <v>1.7143150562798207E-2</v>
      </c>
      <c r="G57" s="62" t="s">
        <v>42</v>
      </c>
      <c r="H57" s="62"/>
      <c r="I57" s="62"/>
      <c r="J57" s="63"/>
      <c r="K57" s="41">
        <v>0.46139999999999998</v>
      </c>
      <c r="M57" s="40">
        <f t="shared" ref="M57:M88" si="13">1/1200+POWER((_xlfn.NORM.DIST(C46,2,5,TRUE))-((2*A46-1)/(2*100)),2)</f>
        <v>8.5086301677162563E-4</v>
      </c>
    </row>
    <row r="58" spans="1:13" x14ac:dyDescent="0.3">
      <c r="A58" s="31">
        <v>13</v>
      </c>
      <c r="B58" s="4">
        <v>-9.7899999999999991</v>
      </c>
      <c r="C58" s="4">
        <v>-3.47</v>
      </c>
      <c r="D58" s="31">
        <f t="shared" si="11"/>
        <v>-6.9774891054429078E-3</v>
      </c>
      <c r="E58" s="31">
        <f t="shared" si="12"/>
        <v>1.6977489105442917E-2</v>
      </c>
      <c r="M58" s="39">
        <f t="shared" si="13"/>
        <v>8.3436649050328416E-4</v>
      </c>
    </row>
    <row r="59" spans="1:13" x14ac:dyDescent="0.3">
      <c r="A59" s="31">
        <v>14</v>
      </c>
      <c r="B59" s="4">
        <v>-0.23</v>
      </c>
      <c r="C59" s="4">
        <v>-2.78</v>
      </c>
      <c r="D59" s="31">
        <f t="shared" si="11"/>
        <v>-2.9536117243968874E-2</v>
      </c>
      <c r="E59" s="31">
        <f t="shared" si="12"/>
        <v>3.9536117243968882E-2</v>
      </c>
      <c r="G59" s="59" t="s">
        <v>25</v>
      </c>
      <c r="H59" s="59"/>
      <c r="I59" s="59"/>
      <c r="J59" s="59"/>
      <c r="K59" s="59"/>
      <c r="L59" s="59"/>
      <c r="M59" s="39">
        <f t="shared" si="13"/>
        <v>8.5620552226490826E-4</v>
      </c>
    </row>
    <row r="60" spans="1:13" x14ac:dyDescent="0.3">
      <c r="A60" s="31">
        <v>15</v>
      </c>
      <c r="B60" s="4">
        <v>-2.16</v>
      </c>
      <c r="C60" s="3">
        <v>-2.56</v>
      </c>
      <c r="D60" s="31">
        <f t="shared" si="11"/>
        <v>-3.0884358779896148E-2</v>
      </c>
      <c r="E60" s="31">
        <f t="shared" si="12"/>
        <v>4.0884358779896129E-2</v>
      </c>
      <c r="M60" s="39">
        <f t="shared" si="13"/>
        <v>8.3393010066833053E-4</v>
      </c>
    </row>
    <row r="61" spans="1:13" x14ac:dyDescent="0.3">
      <c r="A61" s="31">
        <v>16</v>
      </c>
      <c r="B61" s="4">
        <v>-1.57</v>
      </c>
      <c r="C61" s="3">
        <v>-2.34</v>
      </c>
      <c r="D61" s="31">
        <f t="shared" si="11"/>
        <v>-3.2697166321827204E-2</v>
      </c>
      <c r="E61" s="31">
        <f t="shared" si="12"/>
        <v>4.2697166321827212E-2</v>
      </c>
      <c r="H61" s="61" t="s">
        <v>48</v>
      </c>
      <c r="I61" s="61"/>
      <c r="J61" s="61"/>
      <c r="M61" s="39">
        <f t="shared" si="13"/>
        <v>8.4464457389465963E-4</v>
      </c>
    </row>
    <row r="62" spans="1:13" x14ac:dyDescent="0.3">
      <c r="A62" s="31">
        <v>17</v>
      </c>
      <c r="B62" s="4">
        <v>5.8529999999999998</v>
      </c>
      <c r="C62" s="4">
        <v>-2.16</v>
      </c>
      <c r="D62" s="31">
        <f t="shared" si="11"/>
        <v>-3.2704472253699601E-2</v>
      </c>
      <c r="E62" s="31">
        <f t="shared" si="12"/>
        <v>4.270447225369961E-2</v>
      </c>
      <c r="M62" s="39">
        <f t="shared" si="13"/>
        <v>8.7880964637491381E-4</v>
      </c>
    </row>
    <row r="63" spans="1:13" x14ac:dyDescent="0.3">
      <c r="A63" s="31">
        <v>18</v>
      </c>
      <c r="B63" s="4">
        <v>-1.38</v>
      </c>
      <c r="C63" s="4">
        <v>-2.09</v>
      </c>
      <c r="D63" s="31">
        <f t="shared" si="11"/>
        <v>-2.66785936375524E-2</v>
      </c>
      <c r="E63" s="31">
        <f t="shared" si="12"/>
        <v>3.6678593637552381E-2</v>
      </c>
      <c r="G63" s="42" t="s">
        <v>43</v>
      </c>
      <c r="H63" s="50">
        <f>AVERAGE( C46:C145)</f>
        <v>1.9904599999999999</v>
      </c>
      <c r="M63" s="39">
        <f t="shared" si="13"/>
        <v>1.0257261758913031E-3</v>
      </c>
    </row>
    <row r="64" spans="1:13" x14ac:dyDescent="0.3">
      <c r="A64" s="31">
        <v>19</v>
      </c>
      <c r="B64" s="3">
        <v>-1.23</v>
      </c>
      <c r="C64" s="4">
        <v>-2.08</v>
      </c>
      <c r="D64" s="31">
        <f t="shared" si="11"/>
        <v>-1.7250067856445311E-2</v>
      </c>
      <c r="E64" s="31">
        <f t="shared" si="12"/>
        <v>2.725006785644532E-2</v>
      </c>
      <c r="G64" s="42" t="s">
        <v>44</v>
      </c>
      <c r="H64" s="51">
        <f>_xlfn.STDEV.S(C46:C145)</f>
        <v>4.9645784432916313</v>
      </c>
      <c r="M64" s="39">
        <f t="shared" si="13"/>
        <v>1.324784644776347E-3</v>
      </c>
    </row>
    <row r="65" spans="1:13" x14ac:dyDescent="0.3">
      <c r="A65" s="31">
        <v>20</v>
      </c>
      <c r="B65" s="3">
        <v>-2.34</v>
      </c>
      <c r="C65" s="4">
        <v>-2.02</v>
      </c>
      <c r="D65" s="31">
        <f t="shared" si="11"/>
        <v>-1.0698487504871096E-2</v>
      </c>
      <c r="E65" s="31">
        <f t="shared" si="12"/>
        <v>2.0698487504871105E-2</v>
      </c>
      <c r="M65" s="39">
        <f t="shared" si="13"/>
        <v>1.6015762374427586E-3</v>
      </c>
    </row>
    <row r="66" spans="1:13" ht="28.8" x14ac:dyDescent="0.3">
      <c r="A66" s="31">
        <v>21</v>
      </c>
      <c r="B66" s="3">
        <v>-0.54</v>
      </c>
      <c r="C66" s="4">
        <v>-1.87</v>
      </c>
      <c r="D66" s="31">
        <f t="shared" si="11"/>
        <v>-9.4653956284349028E-3</v>
      </c>
      <c r="E66" s="31">
        <f t="shared" si="12"/>
        <v>1.9465395628434884E-2</v>
      </c>
      <c r="G66" s="53" t="s">
        <v>49</v>
      </c>
      <c r="H66" s="53" t="s">
        <v>50</v>
      </c>
      <c r="I66" s="32" t="s">
        <v>7</v>
      </c>
      <c r="J66" s="55"/>
      <c r="M66" s="39">
        <f t="shared" si="13"/>
        <v>1.1290412339697831E-3</v>
      </c>
    </row>
    <row r="67" spans="1:13" x14ac:dyDescent="0.3">
      <c r="A67" s="31">
        <v>22</v>
      </c>
      <c r="B67" s="4">
        <v>3.6579999999999999</v>
      </c>
      <c r="C67" s="3">
        <v>-1.76</v>
      </c>
      <c r="D67" s="31">
        <f t="shared" si="11"/>
        <v>-6.0255293940033317E-3</v>
      </c>
      <c r="E67" s="31">
        <f t="shared" si="12"/>
        <v>1.6025529394003341E-2</v>
      </c>
      <c r="G67" s="30">
        <v>-10</v>
      </c>
      <c r="H67" s="30">
        <f>$H$63+G67*$H$64</f>
        <v>-47.655324432916316</v>
      </c>
      <c r="I67" s="30">
        <f t="array" ref="I67:I74">FREQUENCY(C46:C145,H67:H74)</f>
        <v>0</v>
      </c>
      <c r="J67" s="30">
        <f>POWER(I67,2)</f>
        <v>0</v>
      </c>
      <c r="M67" s="39">
        <f t="shared" si="13"/>
        <v>1.0893488350405792E-3</v>
      </c>
    </row>
    <row r="68" spans="1:13" x14ac:dyDescent="0.3">
      <c r="A68" s="31">
        <v>23</v>
      </c>
      <c r="B68" s="4">
        <v>0.86199999999999999</v>
      </c>
      <c r="C68" s="4">
        <v>-1.57</v>
      </c>
      <c r="D68" s="31">
        <f t="shared" si="11"/>
        <v>-7.6135897273042763E-3</v>
      </c>
      <c r="E68" s="31">
        <f t="shared" si="12"/>
        <v>1.7613589727304285E-2</v>
      </c>
      <c r="G68" s="30">
        <v>-1.0676000000000001</v>
      </c>
      <c r="H68" s="30">
        <f t="shared" ref="H68:H74" si="14">$H$63+G68*$H$64</f>
        <v>-3.3097239460581465</v>
      </c>
      <c r="I68" s="30">
        <v>13</v>
      </c>
      <c r="J68" s="30">
        <f t="shared" ref="J68:J74" si="15">POWER(I68,2)</f>
        <v>169</v>
      </c>
      <c r="M68" s="39">
        <f t="shared" si="13"/>
        <v>9.8078943892411963E-4</v>
      </c>
    </row>
    <row r="69" spans="1:13" x14ac:dyDescent="0.3">
      <c r="A69" s="31">
        <v>24</v>
      </c>
      <c r="B69" s="4">
        <v>1.7629999999999999</v>
      </c>
      <c r="C69" s="4">
        <v>-1.38</v>
      </c>
      <c r="D69" s="31">
        <f t="shared" si="11"/>
        <v>-9.5203225285356297E-3</v>
      </c>
      <c r="E69" s="31">
        <f t="shared" si="12"/>
        <v>1.9520322528535611E-2</v>
      </c>
      <c r="G69" s="30">
        <v>-0.56589999999999996</v>
      </c>
      <c r="H69" s="30">
        <f t="shared" si="14"/>
        <v>-0.81899494105873427</v>
      </c>
      <c r="I69" s="30">
        <v>14</v>
      </c>
      <c r="J69" s="30">
        <f t="shared" si="15"/>
        <v>196</v>
      </c>
      <c r="M69" s="39">
        <f t="shared" si="13"/>
        <v>9.7679357860433707E-4</v>
      </c>
    </row>
    <row r="70" spans="1:13" x14ac:dyDescent="0.3">
      <c r="A70" s="31">
        <v>25</v>
      </c>
      <c r="B70" s="4">
        <v>4.859</v>
      </c>
      <c r="C70" s="3">
        <v>-1.23</v>
      </c>
      <c r="D70" s="31">
        <f t="shared" si="11"/>
        <v>-9.1396777055269274E-3</v>
      </c>
      <c r="E70" s="31">
        <f t="shared" si="12"/>
        <v>1.9139677705526936E-2</v>
      </c>
      <c r="G70" s="52">
        <v>-0.18</v>
      </c>
      <c r="H70" s="30">
        <f t="shared" si="14"/>
        <v>1.0968358802075064</v>
      </c>
      <c r="I70" s="30">
        <v>16</v>
      </c>
      <c r="J70" s="30">
        <f t="shared" si="15"/>
        <v>256</v>
      </c>
      <c r="M70" s="39">
        <f t="shared" si="13"/>
        <v>2.0260767276224978E-3</v>
      </c>
    </row>
    <row r="71" spans="1:13" x14ac:dyDescent="0.3">
      <c r="A71" s="31">
        <v>26</v>
      </c>
      <c r="B71" s="4">
        <v>5.8760000000000003</v>
      </c>
      <c r="C71" s="3">
        <v>-1.05</v>
      </c>
      <c r="D71" s="31">
        <f t="shared" si="11"/>
        <v>-1.0930903783005652E-2</v>
      </c>
      <c r="E71" s="31">
        <f t="shared" si="12"/>
        <v>2.0930903783005661E-2</v>
      </c>
      <c r="G71" s="52">
        <v>0.18</v>
      </c>
      <c r="H71" s="30">
        <f t="shared" si="14"/>
        <v>2.8840841197924934</v>
      </c>
      <c r="I71" s="30">
        <v>14</v>
      </c>
      <c r="J71" s="30">
        <f t="shared" si="15"/>
        <v>196</v>
      </c>
      <c r="M71" s="39">
        <f t="shared" si="13"/>
        <v>2.1210205383776436E-3</v>
      </c>
    </row>
    <row r="72" spans="1:13" x14ac:dyDescent="0.3">
      <c r="A72" s="31">
        <v>27</v>
      </c>
      <c r="B72" s="4">
        <v>12.65</v>
      </c>
      <c r="C72" s="4">
        <v>-0.91</v>
      </c>
      <c r="D72" s="31">
        <f t="shared" si="11"/>
        <v>-1.0283340437643784E-2</v>
      </c>
      <c r="E72" s="31">
        <f t="shared" si="12"/>
        <v>2.0283340437643793E-2</v>
      </c>
      <c r="G72" s="30">
        <v>0.56589999999999996</v>
      </c>
      <c r="H72" s="30">
        <f t="shared" si="14"/>
        <v>4.7999149410587343</v>
      </c>
      <c r="I72" s="30">
        <v>14</v>
      </c>
      <c r="J72" s="30">
        <f t="shared" si="15"/>
        <v>196</v>
      </c>
      <c r="M72" s="39">
        <f t="shared" si="13"/>
        <v>2.2544096820288368E-3</v>
      </c>
    </row>
    <row r="73" spans="1:13" x14ac:dyDescent="0.3">
      <c r="A73" s="31">
        <v>28</v>
      </c>
      <c r="B73" s="4">
        <v>-3.85</v>
      </c>
      <c r="C73" s="3">
        <v>-0.77</v>
      </c>
      <c r="D73" s="31">
        <f t="shared" si="11"/>
        <v>-9.7894228673022221E-3</v>
      </c>
      <c r="E73" s="31">
        <f t="shared" si="12"/>
        <v>1.9789422867302231E-2</v>
      </c>
      <c r="G73" s="30">
        <v>1.0676000000000001</v>
      </c>
      <c r="H73" s="30">
        <f t="shared" si="14"/>
        <v>7.2906439460581458</v>
      </c>
      <c r="I73" s="30">
        <v>19</v>
      </c>
      <c r="J73" s="30">
        <f t="shared" si="15"/>
        <v>361</v>
      </c>
      <c r="M73" s="39">
        <f t="shared" si="13"/>
        <v>2.2549605612633369E-3</v>
      </c>
    </row>
    <row r="74" spans="1:13" x14ac:dyDescent="0.3">
      <c r="A74" s="31">
        <v>29</v>
      </c>
      <c r="B74" s="3">
        <v>5.2460000000000004</v>
      </c>
      <c r="C74" s="4">
        <v>-0.66</v>
      </c>
      <c r="D74" s="31">
        <f t="shared" si="11"/>
        <v>-7.3629977520412448E-3</v>
      </c>
      <c r="E74" s="31">
        <f t="shared" si="12"/>
        <v>1.7362997752041198E-2</v>
      </c>
      <c r="G74" s="30">
        <v>10</v>
      </c>
      <c r="H74" s="30">
        <f t="shared" si="14"/>
        <v>51.636244432916314</v>
      </c>
      <c r="I74" s="30">
        <v>10</v>
      </c>
      <c r="J74" s="30">
        <f t="shared" si="15"/>
        <v>100</v>
      </c>
      <c r="M74" s="39">
        <f t="shared" si="13"/>
        <v>1.8368666281865093E-3</v>
      </c>
    </row>
    <row r="75" spans="1:13" x14ac:dyDescent="0.3">
      <c r="A75" s="31">
        <v>30</v>
      </c>
      <c r="B75" s="3">
        <v>-7.11</v>
      </c>
      <c r="C75" s="4">
        <v>-0.55000000000000004</v>
      </c>
      <c r="D75" s="31">
        <f t="shared" si="11"/>
        <v>-5.0257308975193982E-3</v>
      </c>
      <c r="E75" s="31">
        <f t="shared" si="12"/>
        <v>1.5025730897519407E-2</v>
      </c>
      <c r="J75" s="54">
        <f>SUM(J67:J74)</f>
        <v>1474</v>
      </c>
      <c r="M75" s="39">
        <f t="shared" si="13"/>
        <v>1.3283988529497544E-3</v>
      </c>
    </row>
    <row r="76" spans="1:13" x14ac:dyDescent="0.3">
      <c r="A76" s="31">
        <v>31</v>
      </c>
      <c r="B76" s="3">
        <v>-1.76</v>
      </c>
      <c r="C76" s="3">
        <v>-0.54</v>
      </c>
      <c r="D76" s="31">
        <f t="shared" si="11"/>
        <v>4.2733283934857647E-3</v>
      </c>
      <c r="E76" s="31">
        <f t="shared" si="12"/>
        <v>5.7266716065142442E-3</v>
      </c>
      <c r="M76" s="39">
        <f t="shared" si="13"/>
        <v>1.0797758432739275E-3</v>
      </c>
    </row>
    <row r="77" spans="1:13" x14ac:dyDescent="0.3">
      <c r="A77" s="31">
        <v>32</v>
      </c>
      <c r="B77" s="4">
        <v>3.5830000000000002</v>
      </c>
      <c r="C77" s="4">
        <v>-0.52</v>
      </c>
      <c r="D77" s="31">
        <f t="shared" si="11"/>
        <v>1.286931150840892E-2</v>
      </c>
      <c r="E77" s="31">
        <f t="shared" si="12"/>
        <v>-2.8693115084089116E-3</v>
      </c>
      <c r="G77" s="64" t="s">
        <v>51</v>
      </c>
      <c r="H77" s="64"/>
      <c r="I77" s="64"/>
      <c r="J77" s="18">
        <f>(7/100)*J75-100</f>
        <v>3.1800000000000068</v>
      </c>
      <c r="M77" s="39">
        <f t="shared" si="13"/>
        <v>1.0425810040204772E-3</v>
      </c>
    </row>
    <row r="78" spans="1:13" x14ac:dyDescent="0.3">
      <c r="A78" s="31">
        <v>33</v>
      </c>
      <c r="B78" s="4">
        <v>1.67</v>
      </c>
      <c r="C78" s="4">
        <v>-0.39</v>
      </c>
      <c r="D78" s="31">
        <f t="shared" si="11"/>
        <v>1.3674897480676851E-2</v>
      </c>
      <c r="E78" s="31">
        <f t="shared" si="12"/>
        <v>-3.674897480676842E-3</v>
      </c>
      <c r="G78" s="64" t="s">
        <v>52</v>
      </c>
      <c r="H78" s="64"/>
      <c r="I78" s="64"/>
      <c r="J78" s="18">
        <v>10.038</v>
      </c>
      <c r="M78" s="39">
        <f t="shared" si="13"/>
        <v>9.5489563175136496E-4</v>
      </c>
    </row>
    <row r="79" spans="1:13" x14ac:dyDescent="0.3">
      <c r="A79" s="31">
        <v>34</v>
      </c>
      <c r="B79" s="4">
        <v>-6.66</v>
      </c>
      <c r="C79" s="3">
        <v>-0.32</v>
      </c>
      <c r="D79" s="31">
        <f t="shared" si="11"/>
        <v>1.8676127184307389E-2</v>
      </c>
      <c r="E79" s="31">
        <f t="shared" si="12"/>
        <v>-8.6761271843073806E-3</v>
      </c>
      <c r="M79" s="39">
        <f t="shared" si="13"/>
        <v>9.9243597914208952E-4</v>
      </c>
    </row>
    <row r="80" spans="1:13" x14ac:dyDescent="0.3">
      <c r="A80" s="31">
        <v>35</v>
      </c>
      <c r="B80" s="4">
        <v>-0.39</v>
      </c>
      <c r="C80" s="4">
        <v>-0.23</v>
      </c>
      <c r="D80" s="31">
        <f t="shared" si="11"/>
        <v>2.2201377036886738E-2</v>
      </c>
      <c r="E80" s="31">
        <f t="shared" si="12"/>
        <v>-1.2201377036886785E-2</v>
      </c>
      <c r="G80" s="59" t="s">
        <v>25</v>
      </c>
      <c r="H80" s="59"/>
      <c r="I80" s="59"/>
      <c r="J80" s="59"/>
      <c r="K80" s="59"/>
      <c r="L80" s="59"/>
      <c r="M80" s="39">
        <f t="shared" si="13"/>
        <v>1.0441730996660328E-3</v>
      </c>
    </row>
    <row r="81" spans="1:13" x14ac:dyDescent="0.3">
      <c r="A81" s="31">
        <v>36</v>
      </c>
      <c r="B81" s="4">
        <v>4.4089999999999998</v>
      </c>
      <c r="C81" s="3">
        <v>-0.19</v>
      </c>
      <c r="D81" s="31">
        <f t="shared" si="11"/>
        <v>2.930685828554902E-2</v>
      </c>
      <c r="E81" s="31">
        <f t="shared" si="12"/>
        <v>-1.9306858285549011E-2</v>
      </c>
      <c r="M81" s="39">
        <f t="shared" si="13"/>
        <v>1.0332638189495087E-3</v>
      </c>
    </row>
    <row r="82" spans="1:13" x14ac:dyDescent="0.3">
      <c r="A82" s="31">
        <v>37</v>
      </c>
      <c r="B82" s="4">
        <v>1.74</v>
      </c>
      <c r="C82" s="4">
        <v>5.8000000000000003E-2</v>
      </c>
      <c r="D82" s="31">
        <f t="shared" si="11"/>
        <v>2.113997788746691E-2</v>
      </c>
      <c r="E82" s="31">
        <f t="shared" si="12"/>
        <v>-1.1139977887466901E-2</v>
      </c>
      <c r="H82" s="61" t="s">
        <v>53</v>
      </c>
      <c r="I82" s="61"/>
      <c r="J82" s="61"/>
      <c r="M82" s="39">
        <f t="shared" si="13"/>
        <v>1.0871270286767173E-3</v>
      </c>
    </row>
    <row r="83" spans="1:13" x14ac:dyDescent="0.3">
      <c r="A83" s="31">
        <v>38</v>
      </c>
      <c r="B83" s="4">
        <v>9.8360000000000003</v>
      </c>
      <c r="C83" s="3">
        <v>0.502</v>
      </c>
      <c r="D83" s="31">
        <f t="shared" si="11"/>
        <v>-2.2411420868367338E-3</v>
      </c>
      <c r="E83" s="31">
        <f t="shared" si="12"/>
        <v>1.2241142086836743E-2</v>
      </c>
      <c r="M83" s="39">
        <f t="shared" si="13"/>
        <v>1.0669138282662512E-3</v>
      </c>
    </row>
    <row r="84" spans="1:13" ht="28.8" x14ac:dyDescent="0.3">
      <c r="A84" s="31">
        <v>39</v>
      </c>
      <c r="B84" s="3">
        <v>3.2730000000000001</v>
      </c>
      <c r="C84" s="4">
        <v>0.56599999999999995</v>
      </c>
      <c r="D84" s="31">
        <f t="shared" si="11"/>
        <v>2.8672685298833933E-3</v>
      </c>
      <c r="E84" s="31">
        <f t="shared" si="12"/>
        <v>7.1327314701166156E-3</v>
      </c>
      <c r="G84" s="53" t="s">
        <v>54</v>
      </c>
      <c r="M84" s="39">
        <f t="shared" si="13"/>
        <v>1.0520603620812153E-3</v>
      </c>
    </row>
    <row r="85" spans="1:13" x14ac:dyDescent="0.3">
      <c r="A85" s="31">
        <v>40</v>
      </c>
      <c r="B85" s="3">
        <v>4.1399999999999997</v>
      </c>
      <c r="C85" s="4">
        <v>0.67300000000000004</v>
      </c>
      <c r="D85" s="31">
        <f t="shared" si="11"/>
        <v>4.6493319197012384E-3</v>
      </c>
      <c r="E85" s="31">
        <f t="shared" si="12"/>
        <v>5.3506680802987705E-3</v>
      </c>
      <c r="G85" s="31">
        <f>SQRT(100)-0.01+0.085</f>
        <v>10.075000000000001</v>
      </c>
      <c r="M85" s="39">
        <f t="shared" si="13"/>
        <v>9.8617704675031041E-4</v>
      </c>
    </row>
    <row r="86" spans="1:13" x14ac:dyDescent="0.3">
      <c r="A86" s="31">
        <v>41</v>
      </c>
      <c r="B86" s="3">
        <v>-0.32</v>
      </c>
      <c r="C86" s="4">
        <v>0.86199999999999999</v>
      </c>
      <c r="D86" s="31">
        <f t="shared" si="11"/>
        <v>2.1390024091683113E-5</v>
      </c>
      <c r="E86" s="31">
        <f t="shared" si="12"/>
        <v>9.9786099759082703E-3</v>
      </c>
      <c r="M86" s="39">
        <f t="shared" si="13"/>
        <v>9.338486133628086E-4</v>
      </c>
    </row>
    <row r="87" spans="1:13" x14ac:dyDescent="0.3">
      <c r="A87" s="31">
        <v>42</v>
      </c>
      <c r="B87" s="4">
        <v>-0.91</v>
      </c>
      <c r="C87" s="4">
        <v>0.96</v>
      </c>
      <c r="D87" s="31">
        <f t="shared" si="11"/>
        <v>2.385516323251069E-3</v>
      </c>
      <c r="E87" s="31">
        <f t="shared" si="12"/>
        <v>7.6144836767489399E-3</v>
      </c>
      <c r="G87" s="67" t="s">
        <v>55</v>
      </c>
      <c r="H87" s="68"/>
      <c r="I87" s="69"/>
      <c r="J87" s="56">
        <f>G85*K49</f>
        <v>0.67884281458086104</v>
      </c>
      <c r="M87" s="39">
        <f t="shared" si="13"/>
        <v>8.3386138495704734E-4</v>
      </c>
    </row>
    <row r="88" spans="1:13" x14ac:dyDescent="0.3">
      <c r="A88" s="31">
        <v>43</v>
      </c>
      <c r="B88" s="4">
        <v>4.8890000000000002</v>
      </c>
      <c r="C88" s="4">
        <v>1.0129999999999999</v>
      </c>
      <c r="D88" s="31">
        <f t="shared" si="11"/>
        <v>8.2427351900200563E-3</v>
      </c>
      <c r="E88" s="31">
        <f t="shared" si="12"/>
        <v>1.7572648099799526E-3</v>
      </c>
      <c r="G88" s="67" t="s">
        <v>56</v>
      </c>
      <c r="H88" s="68"/>
      <c r="I88" s="69"/>
      <c r="J88" s="19">
        <v>0.89500000000000002</v>
      </c>
      <c r="M88" s="39">
        <f t="shared" si="13"/>
        <v>8.9525939694971044E-4</v>
      </c>
    </row>
    <row r="89" spans="1:13" x14ac:dyDescent="0.3">
      <c r="A89" s="31">
        <v>44</v>
      </c>
      <c r="B89" s="4">
        <v>-5.0999999999999996</v>
      </c>
      <c r="C89" s="4">
        <v>1.2569999999999999</v>
      </c>
      <c r="D89" s="31">
        <f t="shared" si="11"/>
        <v>-9.3463650511266261E-4</v>
      </c>
      <c r="E89" s="31">
        <f t="shared" si="12"/>
        <v>1.0934636505112671E-2</v>
      </c>
      <c r="M89" s="39">
        <f t="shared" ref="M89:M120" si="16">1/1200+POWER((_xlfn.NORM.DIST(C78,2,5,TRUE))-((2*A78-1)/(2*100)),2)</f>
        <v>9.0858717963358685E-4</v>
      </c>
    </row>
    <row r="90" spans="1:13" x14ac:dyDescent="0.3">
      <c r="A90" s="31">
        <v>45</v>
      </c>
      <c r="B90" s="4">
        <v>3.7250000000000001</v>
      </c>
      <c r="C90" s="4">
        <v>1.6060000000000001</v>
      </c>
      <c r="D90" s="31">
        <f t="shared" si="11"/>
        <v>-1.8595852024482884E-2</v>
      </c>
      <c r="E90" s="31">
        <f t="shared" si="12"/>
        <v>2.8595852024482893E-2</v>
      </c>
      <c r="G90" s="59" t="s">
        <v>25</v>
      </c>
      <c r="H90" s="59"/>
      <c r="I90" s="59"/>
      <c r="J90" s="59"/>
      <c r="K90" s="59"/>
      <c r="L90" s="59"/>
      <c r="M90" s="39">
        <f t="shared" si="16"/>
        <v>1.0203697880946849E-3</v>
      </c>
    </row>
    <row r="91" spans="1:13" x14ac:dyDescent="0.3">
      <c r="A91" s="31">
        <v>46</v>
      </c>
      <c r="B91" s="4">
        <v>3.7749999999999999</v>
      </c>
      <c r="C91" s="4">
        <v>1.657</v>
      </c>
      <c r="D91" s="31">
        <f t="shared" si="11"/>
        <v>-1.2654009434254376E-2</v>
      </c>
      <c r="E91" s="31">
        <f t="shared" si="12"/>
        <v>2.2654009434254385E-2</v>
      </c>
      <c r="M91" s="39">
        <f t="shared" si="16"/>
        <v>1.1292207052984676E-3</v>
      </c>
    </row>
    <row r="92" spans="1:13" x14ac:dyDescent="0.3">
      <c r="A92" s="31">
        <v>47</v>
      </c>
      <c r="B92" s="4">
        <v>0.56599999999999995</v>
      </c>
      <c r="C92" s="4">
        <v>1.67</v>
      </c>
      <c r="D92" s="31">
        <f t="shared" si="11"/>
        <v>-3.6889127280771428E-3</v>
      </c>
      <c r="E92" s="31">
        <f t="shared" si="12"/>
        <v>1.3688912728077096E-2</v>
      </c>
      <c r="H92" s="61" t="s">
        <v>57</v>
      </c>
      <c r="I92" s="61"/>
      <c r="M92" s="39">
        <f t="shared" si="16"/>
        <v>1.4241566930470963E-3</v>
      </c>
    </row>
    <row r="93" spans="1:13" x14ac:dyDescent="0.3">
      <c r="A93" s="31">
        <v>48</v>
      </c>
      <c r="B93" s="4">
        <v>6.4390000000000001</v>
      </c>
      <c r="C93" s="4">
        <v>1.696</v>
      </c>
      <c r="D93" s="31">
        <f t="shared" si="11"/>
        <v>4.240754838488292E-3</v>
      </c>
      <c r="E93" s="57">
        <f t="shared" si="12"/>
        <v>5.7592451615117168E-3</v>
      </c>
      <c r="F93" s="33" t="s">
        <v>58</v>
      </c>
      <c r="G93" s="33" t="s">
        <v>59</v>
      </c>
      <c r="M93" s="39">
        <f t="shared" si="16"/>
        <v>1.093832219541254E-3</v>
      </c>
    </row>
    <row r="94" spans="1:13" x14ac:dyDescent="0.3">
      <c r="A94" s="31">
        <v>49</v>
      </c>
      <c r="B94" s="3">
        <v>7.7549999999999999</v>
      </c>
      <c r="C94" s="4">
        <v>1.74</v>
      </c>
      <c r="D94" s="31">
        <f t="shared" si="11"/>
        <v>1.0735653292280323E-2</v>
      </c>
      <c r="E94" s="57">
        <f t="shared" si="12"/>
        <v>-7.3565329228031384E-4</v>
      </c>
      <c r="F94" s="30">
        <f>(C46-$H$63)/$H$64</f>
        <v>-2.3729023792379196</v>
      </c>
      <c r="G94">
        <f>_xlfn.NORM.S.DIST(F94, TRUE)</f>
        <v>8.8244639068338713E-3</v>
      </c>
      <c r="H94">
        <f>ABS(G94 - (2*A46-1)/200)</f>
        <v>3.8244639068338712E-3</v>
      </c>
      <c r="M94" s="39">
        <f t="shared" si="16"/>
        <v>8.8576747205509172E-4</v>
      </c>
    </row>
    <row r="95" spans="1:13" x14ac:dyDescent="0.3">
      <c r="A95" s="31">
        <v>50</v>
      </c>
      <c r="B95" s="3">
        <v>-2.56</v>
      </c>
      <c r="C95" s="4">
        <v>1.7629999999999999</v>
      </c>
      <c r="D95" s="31">
        <f t="shared" si="11"/>
        <v>1.8902785489074203E-2</v>
      </c>
      <c r="E95" s="57">
        <f t="shared" si="12"/>
        <v>-8.9027854890741942E-3</v>
      </c>
      <c r="F95" s="30">
        <f t="shared" ref="F95:F158" si="17">(C47-$H$63)/$H$64</f>
        <v>-2.1573755198636193</v>
      </c>
      <c r="G95">
        <f t="shared" ref="G95:G158" si="18">_xlfn.NORM.S.DIST(F95, TRUE)</f>
        <v>1.5488208524280215E-2</v>
      </c>
      <c r="H95">
        <f t="shared" ref="H95:H158" si="19">ABS(G95 - (2*A47-1)/200)</f>
        <v>4.8820852428021512E-4</v>
      </c>
      <c r="J95" s="18" t="s">
        <v>60</v>
      </c>
      <c r="K95" s="19">
        <f>(1/10)*SUM(H94:H193)</f>
        <v>0.16147342018414285</v>
      </c>
      <c r="M95" s="39">
        <f t="shared" si="16"/>
        <v>8.3788187685695918E-4</v>
      </c>
    </row>
    <row r="96" spans="1:13" x14ac:dyDescent="0.3">
      <c r="A96" s="31">
        <v>51</v>
      </c>
      <c r="B96" s="3">
        <v>2.653</v>
      </c>
      <c r="C96" s="3">
        <v>2.0150000000000001</v>
      </c>
      <c r="D96" s="31">
        <f t="shared" si="11"/>
        <v>8.8031749540335991E-3</v>
      </c>
      <c r="E96" s="57">
        <f t="shared" si="12"/>
        <v>1.1968250459664098E-3</v>
      </c>
      <c r="F96" s="30">
        <f t="shared" si="17"/>
        <v>-1.8955204570724127</v>
      </c>
      <c r="G96">
        <f t="shared" si="18"/>
        <v>2.9011742075537177E-2</v>
      </c>
      <c r="H96">
        <f t="shared" si="19"/>
        <v>4.0117420755371759E-3</v>
      </c>
      <c r="J96" s="18" t="s">
        <v>52</v>
      </c>
      <c r="K96" s="19">
        <v>0.28399999999999997</v>
      </c>
      <c r="M96" s="39">
        <f t="shared" si="16"/>
        <v>8.3345630143587376E-4</v>
      </c>
    </row>
    <row r="97" spans="1:13" x14ac:dyDescent="0.3">
      <c r="A97" s="31">
        <v>52</v>
      </c>
      <c r="B97" s="4">
        <v>0.96</v>
      </c>
      <c r="C97" s="4">
        <v>2.0470000000000002</v>
      </c>
      <c r="D97" s="31">
        <f t="shared" si="11"/>
        <v>1.6249997789340442E-2</v>
      </c>
      <c r="E97" s="57">
        <f t="shared" si="12"/>
        <v>-6.2499977893404335E-3</v>
      </c>
      <c r="F97" s="30">
        <f t="shared" si="17"/>
        <v>-1.8330780959452788</v>
      </c>
      <c r="G97">
        <f t="shared" si="18"/>
        <v>3.3395479010254171E-2</v>
      </c>
      <c r="H97">
        <f t="shared" si="19"/>
        <v>1.6045209897458321E-3</v>
      </c>
      <c r="M97" s="39">
        <f t="shared" si="16"/>
        <v>8.5811989062554669E-4</v>
      </c>
    </row>
    <row r="98" spans="1:13" ht="14.25" customHeight="1" x14ac:dyDescent="0.3">
      <c r="A98" s="31">
        <v>53</v>
      </c>
      <c r="B98" s="4">
        <v>1.696</v>
      </c>
      <c r="C98" s="3">
        <v>2.089</v>
      </c>
      <c r="D98" s="31">
        <f t="shared" si="11"/>
        <v>2.289920238028742E-2</v>
      </c>
      <c r="E98" s="57">
        <f t="shared" si="12"/>
        <v>-1.2899202380287411E-2</v>
      </c>
      <c r="F98" s="30">
        <f t="shared" si="17"/>
        <v>-1.742435958825246</v>
      </c>
      <c r="G98">
        <f t="shared" si="18"/>
        <v>4.0716094183175428E-2</v>
      </c>
      <c r="H98">
        <f t="shared" si="19"/>
        <v>4.2839058168245708E-3</v>
      </c>
      <c r="J98" s="65" t="s">
        <v>25</v>
      </c>
      <c r="K98" s="65"/>
      <c r="L98" s="66"/>
      <c r="M98" s="39">
        <f t="shared" si="16"/>
        <v>8.4016885822932005E-4</v>
      </c>
    </row>
    <row r="99" spans="1:13" x14ac:dyDescent="0.3">
      <c r="A99" s="31">
        <v>54</v>
      </c>
      <c r="B99" s="4">
        <v>12.8</v>
      </c>
      <c r="C99" s="3">
        <v>2.5910000000000002</v>
      </c>
      <c r="D99" s="31">
        <f t="shared" si="11"/>
        <v>-7.0454050208701435E-3</v>
      </c>
      <c r="E99" s="57">
        <f t="shared" si="12"/>
        <v>1.7045405020870152E-2</v>
      </c>
      <c r="F99" s="30">
        <f t="shared" si="17"/>
        <v>-1.6719365188429978</v>
      </c>
      <c r="G99">
        <f t="shared" si="18"/>
        <v>4.726842031967176E-2</v>
      </c>
      <c r="H99">
        <f t="shared" si="19"/>
        <v>7.7315796803282405E-3</v>
      </c>
      <c r="J99" s="65"/>
      <c r="K99" s="65"/>
      <c r="L99" s="66"/>
      <c r="M99" s="39">
        <f t="shared" si="16"/>
        <v>8.4384866484592778E-4</v>
      </c>
    </row>
    <row r="100" spans="1:13" x14ac:dyDescent="0.3">
      <c r="A100" s="31">
        <v>55</v>
      </c>
      <c r="B100" s="4">
        <v>-2.08</v>
      </c>
      <c r="C100" s="3">
        <v>2.653</v>
      </c>
      <c r="D100" s="31">
        <f t="shared" si="11"/>
        <v>-1.9541286363653487E-3</v>
      </c>
      <c r="E100" s="57">
        <f t="shared" si="12"/>
        <v>1.1954128636365358E-2</v>
      </c>
      <c r="F100" s="30">
        <f t="shared" si="17"/>
        <v>-1.6437367428500989</v>
      </c>
      <c r="G100">
        <f t="shared" si="18"/>
        <v>5.0115296406774486E-2</v>
      </c>
      <c r="H100">
        <f t="shared" si="19"/>
        <v>1.4884703593225516E-2</v>
      </c>
      <c r="M100" s="39">
        <f t="shared" si="16"/>
        <v>8.6855324378114923E-4</v>
      </c>
    </row>
    <row r="101" spans="1:13" x14ac:dyDescent="0.3">
      <c r="A101" s="31">
        <v>56</v>
      </c>
      <c r="B101" s="4">
        <v>1.657</v>
      </c>
      <c r="C101" s="4">
        <v>2.7519999999999998</v>
      </c>
      <c r="D101" s="31">
        <f t="shared" si="11"/>
        <v>2.2452063525935095E-4</v>
      </c>
      <c r="E101" s="57">
        <f t="shared" si="12"/>
        <v>9.7754793647406579E-3</v>
      </c>
      <c r="F101" s="30">
        <f t="shared" si="17"/>
        <v>-1.6276225851398707</v>
      </c>
      <c r="G101">
        <f t="shared" si="18"/>
        <v>5.1802468582504993E-2</v>
      </c>
      <c r="H101">
        <f t="shared" si="19"/>
        <v>2.3197531417495004E-2</v>
      </c>
      <c r="M101" s="39">
        <f t="shared" si="16"/>
        <v>1.3900975660946268E-3</v>
      </c>
    </row>
    <row r="102" spans="1:13" x14ac:dyDescent="0.3">
      <c r="A102" s="31">
        <v>57</v>
      </c>
      <c r="B102" s="4">
        <v>6.6269999999999998</v>
      </c>
      <c r="C102" s="3">
        <v>2.8540000000000001</v>
      </c>
      <c r="D102" s="31">
        <f t="shared" si="11"/>
        <v>2.1905145369530699E-3</v>
      </c>
      <c r="E102" s="57">
        <f t="shared" si="12"/>
        <v>7.809485463046828E-3</v>
      </c>
      <c r="F102" s="30">
        <f t="shared" si="17"/>
        <v>-1.5873371908643004</v>
      </c>
      <c r="G102">
        <f t="shared" si="18"/>
        <v>5.6218148164544103E-2</v>
      </c>
      <c r="H102">
        <f t="shared" si="19"/>
        <v>2.8781851835455903E-2</v>
      </c>
      <c r="M102" s="39">
        <f t="shared" si="16"/>
        <v>1.144997382438076E-3</v>
      </c>
    </row>
    <row r="103" spans="1:13" x14ac:dyDescent="0.3">
      <c r="A103" s="31">
        <v>58</v>
      </c>
      <c r="B103" s="4">
        <v>6.1079999999999997</v>
      </c>
      <c r="C103" s="3">
        <v>3.2730000000000001</v>
      </c>
      <c r="D103" s="31">
        <f t="shared" si="11"/>
        <v>-2.0483970407624175E-2</v>
      </c>
      <c r="E103" s="57">
        <f t="shared" si="12"/>
        <v>3.0483970407624184E-2</v>
      </c>
      <c r="F103" s="30">
        <f t="shared" si="17"/>
        <v>-1.4282098834757979</v>
      </c>
      <c r="G103">
        <f t="shared" si="18"/>
        <v>7.6615728349136034E-2</v>
      </c>
      <c r="H103">
        <f t="shared" si="19"/>
        <v>1.8384271650863968E-2</v>
      </c>
      <c r="M103" s="39">
        <f t="shared" si="16"/>
        <v>9.0883053772947348E-4</v>
      </c>
    </row>
    <row r="104" spans="1:13" x14ac:dyDescent="0.3">
      <c r="A104" s="31">
        <v>59</v>
      </c>
      <c r="B104" s="3">
        <v>4.351</v>
      </c>
      <c r="C104" s="4">
        <v>3.3260000000000001</v>
      </c>
      <c r="D104" s="31">
        <f t="shared" si="11"/>
        <v>-1.4572302549000771E-2</v>
      </c>
      <c r="E104" s="57">
        <f t="shared" si="12"/>
        <v>2.457230254900078E-2</v>
      </c>
      <c r="F104" s="30">
        <f t="shared" si="17"/>
        <v>-1.1764261692534843</v>
      </c>
      <c r="G104">
        <f t="shared" si="18"/>
        <v>0.11971230973699475</v>
      </c>
      <c r="H104">
        <f t="shared" si="19"/>
        <v>1.471230973699475E-2</v>
      </c>
      <c r="M104" s="39">
        <f t="shared" si="16"/>
        <v>8.3390978654861235E-4</v>
      </c>
    </row>
    <row r="105" spans="1:13" x14ac:dyDescent="0.3">
      <c r="A105" s="31">
        <v>60</v>
      </c>
      <c r="B105" s="3">
        <v>-1.05</v>
      </c>
      <c r="C105" s="3">
        <v>3.33</v>
      </c>
      <c r="D105" s="31">
        <f t="shared" si="11"/>
        <v>-4.8803954886852408E-3</v>
      </c>
      <c r="E105" s="57">
        <f t="shared" si="12"/>
        <v>1.488039548868525E-2</v>
      </c>
      <c r="F105" s="30">
        <f t="shared" si="17"/>
        <v>-1.1462121235468066</v>
      </c>
      <c r="G105">
        <f t="shared" si="18"/>
        <v>0.12585369637422933</v>
      </c>
      <c r="H105">
        <f t="shared" si="19"/>
        <v>1.0853696374229324E-2</v>
      </c>
      <c r="M105" s="39">
        <f t="shared" si="16"/>
        <v>8.6623105202257946E-4</v>
      </c>
    </row>
    <row r="106" spans="1:13" x14ac:dyDescent="0.3">
      <c r="A106" s="31">
        <v>61</v>
      </c>
      <c r="B106" s="3">
        <v>2.5910000000000002</v>
      </c>
      <c r="C106" s="4">
        <v>3.5830000000000002</v>
      </c>
      <c r="D106" s="31">
        <f t="shared" si="11"/>
        <v>-1.4226432110146514E-2</v>
      </c>
      <c r="E106" s="57">
        <f t="shared" si="12"/>
        <v>2.4226432110146523E-2</v>
      </c>
      <c r="F106" s="30">
        <f t="shared" si="17"/>
        <v>-1.0998839201299009</v>
      </c>
      <c r="G106">
        <f t="shared" si="18"/>
        <v>0.13569135081330669</v>
      </c>
      <c r="H106">
        <f t="shared" si="19"/>
        <v>1.0691350813306688E-2</v>
      </c>
      <c r="M106" s="39">
        <f t="shared" si="16"/>
        <v>1.0266207776885455E-3</v>
      </c>
    </row>
    <row r="107" spans="1:13" x14ac:dyDescent="0.3">
      <c r="A107" s="31">
        <v>62</v>
      </c>
      <c r="B107" s="4">
        <v>-3.7</v>
      </c>
      <c r="C107" s="4">
        <v>3.6579999999999999</v>
      </c>
      <c r="D107" s="31">
        <f t="shared" si="11"/>
        <v>-9.9043402103703437E-3</v>
      </c>
      <c r="E107" s="57">
        <f t="shared" si="12"/>
        <v>1.9904340210370353E-2</v>
      </c>
      <c r="F107" s="30">
        <f t="shared" si="17"/>
        <v>-0.96089930987918359</v>
      </c>
      <c r="G107">
        <f t="shared" si="18"/>
        <v>0.16830139891655632</v>
      </c>
      <c r="H107">
        <f t="shared" si="19"/>
        <v>3.3301398916556313E-2</v>
      </c>
      <c r="M107" s="39">
        <f t="shared" si="16"/>
        <v>8.4779747306432183E-4</v>
      </c>
    </row>
    <row r="108" spans="1:13" x14ac:dyDescent="0.3">
      <c r="A108" s="31">
        <v>63</v>
      </c>
      <c r="B108" s="4">
        <v>6.8559999999999999</v>
      </c>
      <c r="C108" s="4">
        <v>3.7250000000000001</v>
      </c>
      <c r="D108" s="31">
        <f t="shared" si="11"/>
        <v>-4.9528146341983881E-3</v>
      </c>
      <c r="E108" s="57">
        <f t="shared" si="12"/>
        <v>1.4952814634198397E-2</v>
      </c>
      <c r="F108" s="30">
        <f t="shared" si="17"/>
        <v>-0.9165853761760564</v>
      </c>
      <c r="G108">
        <f t="shared" si="18"/>
        <v>0.17967997516808859</v>
      </c>
      <c r="H108">
        <f t="shared" si="19"/>
        <v>3.46799751680886E-2</v>
      </c>
      <c r="M108" s="39">
        <f t="shared" si="16"/>
        <v>9.5989578359349814E-4</v>
      </c>
    </row>
    <row r="109" spans="1:13" x14ac:dyDescent="0.3">
      <c r="A109" s="31">
        <v>64</v>
      </c>
      <c r="B109" s="4">
        <v>-2.02</v>
      </c>
      <c r="C109" s="4">
        <v>3.7749999999999999</v>
      </c>
      <c r="D109" s="31">
        <f t="shared" si="11"/>
        <v>1.2947956163128493E-3</v>
      </c>
      <c r="E109" s="57">
        <f t="shared" si="12"/>
        <v>8.7052043836871595E-3</v>
      </c>
      <c r="F109" s="30">
        <f t="shared" si="17"/>
        <v>-0.87227144247292898</v>
      </c>
      <c r="G109">
        <f t="shared" si="18"/>
        <v>0.19153015648625904</v>
      </c>
      <c r="H109">
        <f t="shared" si="19"/>
        <v>3.6530156486259041E-2</v>
      </c>
      <c r="M109" s="39">
        <f t="shared" si="16"/>
        <v>1.15371477918382E-3</v>
      </c>
    </row>
    <row r="110" spans="1:13" x14ac:dyDescent="0.3">
      <c r="A110" s="31">
        <v>65</v>
      </c>
      <c r="B110" s="4">
        <v>5.3819999999999997</v>
      </c>
      <c r="C110" s="3">
        <v>4.1399999999999997</v>
      </c>
      <c r="D110" s="31">
        <f t="shared" si="11"/>
        <v>-1.5674439805675844E-2</v>
      </c>
      <c r="E110" s="57">
        <f t="shared" si="12"/>
        <v>2.5674439805675853E-2</v>
      </c>
      <c r="F110" s="30">
        <f t="shared" si="17"/>
        <v>-0.83601458762491587</v>
      </c>
      <c r="G110">
        <f t="shared" si="18"/>
        <v>0.20157334827158455</v>
      </c>
      <c r="H110">
        <f t="shared" si="19"/>
        <v>3.6573348271584538E-2</v>
      </c>
      <c r="M110" s="39">
        <f t="shared" si="16"/>
        <v>9.7842511545013708E-4</v>
      </c>
    </row>
    <row r="111" spans="1:13" x14ac:dyDescent="0.3">
      <c r="A111" s="31">
        <v>66</v>
      </c>
      <c r="B111" s="4">
        <v>-0.52</v>
      </c>
      <c r="C111" s="4">
        <v>4.2560000000000002</v>
      </c>
      <c r="D111" s="31">
        <f t="shared" ref="D111:D145" si="20">(A111/100)-(_xlfn.NORM.DIST(C111,2,5,TRUE))</f>
        <v>-1.4077295173531512E-2</v>
      </c>
      <c r="E111" s="57">
        <f t="shared" ref="E111:E145" si="21">(_xlfn.NORM.DIST(C111,2,5,TRUE))-(A111-1)/100</f>
        <v>2.4077295173531521E-2</v>
      </c>
      <c r="F111" s="30">
        <f t="shared" si="17"/>
        <v>-0.82191469962846619</v>
      </c>
      <c r="G111">
        <f t="shared" si="18"/>
        <v>0.20556272312052851</v>
      </c>
      <c r="H111">
        <f t="shared" si="19"/>
        <v>3.0562723120528518E-2</v>
      </c>
      <c r="M111" s="39">
        <f t="shared" si="16"/>
        <v>8.8169323842445001E-4</v>
      </c>
    </row>
    <row r="112" spans="1:13" x14ac:dyDescent="0.3">
      <c r="A112" s="31">
        <v>67</v>
      </c>
      <c r="B112" s="4">
        <v>2.0470000000000002</v>
      </c>
      <c r="C112" s="4">
        <v>4.3049999999999997</v>
      </c>
      <c r="D112" s="31">
        <f t="shared" si="20"/>
        <v>-7.6006974487798917E-3</v>
      </c>
      <c r="E112" s="57">
        <f t="shared" si="21"/>
        <v>1.7600697448779901E-2</v>
      </c>
      <c r="F112" s="30">
        <f t="shared" si="17"/>
        <v>-0.8199004299146877</v>
      </c>
      <c r="G112">
        <f t="shared" si="18"/>
        <v>0.20613643583895183</v>
      </c>
      <c r="H112">
        <f t="shared" si="19"/>
        <v>2.1136435838951834E-2</v>
      </c>
      <c r="M112" s="39">
        <f t="shared" si="16"/>
        <v>8.5613853649639722E-4</v>
      </c>
    </row>
    <row r="113" spans="1:13" x14ac:dyDescent="0.3">
      <c r="A113" s="31">
        <v>68</v>
      </c>
      <c r="B113" s="4">
        <v>6.0250000000000004</v>
      </c>
      <c r="C113" s="3">
        <v>4.351</v>
      </c>
      <c r="D113" s="31">
        <f t="shared" si="20"/>
        <v>-8.9393292420025805E-4</v>
      </c>
      <c r="E113" s="57">
        <f t="shared" si="21"/>
        <v>1.0893932924200267E-2</v>
      </c>
      <c r="F113" s="30">
        <f t="shared" si="17"/>
        <v>-0.80781481163201674</v>
      </c>
      <c r="G113">
        <f t="shared" si="18"/>
        <v>0.20959859861138561</v>
      </c>
      <c r="H113">
        <f t="shared" si="19"/>
        <v>1.4598598611385599E-2</v>
      </c>
      <c r="M113" s="39">
        <f t="shared" si="16"/>
        <v>8.4122654190040545E-4</v>
      </c>
    </row>
    <row r="114" spans="1:13" x14ac:dyDescent="0.3">
      <c r="A114" s="31">
        <v>69</v>
      </c>
      <c r="B114" s="3">
        <v>-0.19</v>
      </c>
      <c r="C114" s="4">
        <v>4.4089999999999998</v>
      </c>
      <c r="D114" s="31">
        <f t="shared" si="20"/>
        <v>4.9740146927556017E-3</v>
      </c>
      <c r="E114" s="57">
        <f t="shared" si="21"/>
        <v>5.0259853072442962E-3</v>
      </c>
      <c r="F114" s="30">
        <f t="shared" si="17"/>
        <v>-0.777600765925339</v>
      </c>
      <c r="G114">
        <f t="shared" si="18"/>
        <v>0.21840220468041399</v>
      </c>
      <c r="H114">
        <f t="shared" si="19"/>
        <v>1.3402204680414004E-2</v>
      </c>
      <c r="M114" s="39">
        <f t="shared" si="16"/>
        <v>1.4827660810699983E-3</v>
      </c>
    </row>
    <row r="115" spans="1:13" x14ac:dyDescent="0.3">
      <c r="A115" s="31">
        <v>70</v>
      </c>
      <c r="B115" s="3">
        <v>17.579999999999998</v>
      </c>
      <c r="C115" s="3">
        <v>4.5819999999999999</v>
      </c>
      <c r="D115" s="31">
        <f t="shared" si="20"/>
        <v>2.7875328926834086E-3</v>
      </c>
      <c r="E115" s="57">
        <f t="shared" si="21"/>
        <v>7.2124671073166002E-3</v>
      </c>
      <c r="F115" s="30">
        <f t="shared" si="17"/>
        <v>-0.75544379907377546</v>
      </c>
      <c r="G115">
        <f t="shared" si="18"/>
        <v>0.2249913707969759</v>
      </c>
      <c r="H115">
        <f t="shared" si="19"/>
        <v>9.9913707969759014E-3</v>
      </c>
      <c r="M115" s="39">
        <f t="shared" si="16"/>
        <v>1.2164083604029557E-3</v>
      </c>
    </row>
    <row r="116" spans="1:13" x14ac:dyDescent="0.3">
      <c r="A116" s="31">
        <v>71</v>
      </c>
      <c r="B116" s="3">
        <v>-0.77</v>
      </c>
      <c r="C116" s="4">
        <v>4.6890000000000001</v>
      </c>
      <c r="D116" s="31">
        <f t="shared" si="20"/>
        <v>5.3575659930404917E-3</v>
      </c>
      <c r="E116" s="57">
        <f t="shared" si="21"/>
        <v>4.6424340069595171E-3</v>
      </c>
      <c r="F116" s="30">
        <f t="shared" si="17"/>
        <v>-0.71717267451198374</v>
      </c>
      <c r="G116">
        <f t="shared" si="18"/>
        <v>0.23663377885567274</v>
      </c>
      <c r="H116">
        <f t="shared" si="19"/>
        <v>1.1633778855672738E-2</v>
      </c>
      <c r="M116" s="39">
        <f t="shared" si="16"/>
        <v>9.3095554834616515E-4</v>
      </c>
    </row>
    <row r="117" spans="1:13" x14ac:dyDescent="0.3">
      <c r="A117" s="31">
        <v>72</v>
      </c>
      <c r="B117" s="4">
        <v>6.593</v>
      </c>
      <c r="C117" s="4">
        <v>4.859</v>
      </c>
      <c r="D117" s="31">
        <f t="shared" si="20"/>
        <v>3.7287386522535382E-3</v>
      </c>
      <c r="E117" s="57">
        <f t="shared" si="21"/>
        <v>6.2712613477464707E-3</v>
      </c>
      <c r="F117" s="30">
        <f t="shared" si="17"/>
        <v>-0.67890154995019192</v>
      </c>
      <c r="G117">
        <f t="shared" si="18"/>
        <v>0.24860012179071928</v>
      </c>
      <c r="H117">
        <f t="shared" si="19"/>
        <v>1.3600121790719288E-2</v>
      </c>
      <c r="M117" s="39">
        <f t="shared" si="16"/>
        <v>1.2029890250194065E-3</v>
      </c>
    </row>
    <row r="118" spans="1:13" x14ac:dyDescent="0.3">
      <c r="A118" s="31">
        <v>73</v>
      </c>
      <c r="B118" s="4">
        <v>-6.17</v>
      </c>
      <c r="C118" s="4">
        <v>4.8890000000000002</v>
      </c>
      <c r="D118" s="31">
        <f t="shared" si="20"/>
        <v>1.1699577643148107E-2</v>
      </c>
      <c r="E118" s="57">
        <f t="shared" si="21"/>
        <v>-1.699577643148098E-3</v>
      </c>
      <c r="F118" s="30">
        <f t="shared" si="17"/>
        <v>-0.6486875042435144</v>
      </c>
      <c r="G118">
        <f t="shared" si="18"/>
        <v>0.25827019140623531</v>
      </c>
      <c r="H118">
        <f t="shared" si="19"/>
        <v>1.327019140623531E-2</v>
      </c>
      <c r="M118" s="39">
        <f t="shared" si="16"/>
        <v>1.0554726904397958E-3</v>
      </c>
    </row>
    <row r="119" spans="1:13" x14ac:dyDescent="0.3">
      <c r="A119" s="31">
        <v>74</v>
      </c>
      <c r="B119" s="4">
        <v>-1.87</v>
      </c>
      <c r="C119" s="4">
        <v>5.0620000000000003</v>
      </c>
      <c r="D119" s="31">
        <f t="shared" si="20"/>
        <v>1.0136570906924991E-2</v>
      </c>
      <c r="E119" s="57">
        <f t="shared" si="21"/>
        <v>-1.3657090692498208E-4</v>
      </c>
      <c r="F119" s="30">
        <f t="shared" si="17"/>
        <v>-0.61243064939550118</v>
      </c>
      <c r="G119">
        <f t="shared" si="18"/>
        <v>0.27012643435248751</v>
      </c>
      <c r="H119">
        <f t="shared" si="19"/>
        <v>1.5126434352487506E-2</v>
      </c>
      <c r="M119" s="39">
        <f t="shared" si="16"/>
        <v>9.3239185247604708E-4</v>
      </c>
    </row>
    <row r="120" spans="1:13" x14ac:dyDescent="0.3">
      <c r="A120" s="31">
        <v>75</v>
      </c>
      <c r="B120" s="4">
        <v>-0.66</v>
      </c>
      <c r="C120" s="3">
        <v>5.1760000000000002</v>
      </c>
      <c r="D120" s="31">
        <f t="shared" si="20"/>
        <v>1.2648991630201278E-2</v>
      </c>
      <c r="E120" s="57">
        <f t="shared" si="21"/>
        <v>-2.6489916302012695E-3</v>
      </c>
      <c r="F120" s="30">
        <f t="shared" si="17"/>
        <v>-0.58423087340260194</v>
      </c>
      <c r="G120">
        <f t="shared" si="18"/>
        <v>0.27953249638909217</v>
      </c>
      <c r="H120">
        <f t="shared" si="19"/>
        <v>1.4532496389092153E-2</v>
      </c>
      <c r="M120" s="39">
        <f t="shared" si="16"/>
        <v>8.4706187285822794E-4</v>
      </c>
    </row>
    <row r="121" spans="1:13" x14ac:dyDescent="0.3">
      <c r="A121" s="31">
        <v>76</v>
      </c>
      <c r="B121" s="4">
        <v>-7.42</v>
      </c>
      <c r="C121" s="3">
        <v>5.2460000000000004</v>
      </c>
      <c r="D121" s="31">
        <f t="shared" si="20"/>
        <v>1.810455585592452E-2</v>
      </c>
      <c r="E121" s="57">
        <f t="shared" si="21"/>
        <v>-8.1045558559245112E-3</v>
      </c>
      <c r="F121" s="30">
        <f t="shared" si="17"/>
        <v>-0.55603109740970291</v>
      </c>
      <c r="G121">
        <f t="shared" si="18"/>
        <v>0.28909479813926042</v>
      </c>
      <c r="H121">
        <f t="shared" si="19"/>
        <v>1.40947981392604E-2</v>
      </c>
      <c r="M121" s="39">
        <f t="shared" ref="M121:M152" si="22">1/1200+POWER((_xlfn.NORM.DIST(C110,2,5,TRUE))-((2*A110-1)/(2*100)),2)</f>
        <v>1.2607657946118473E-3</v>
      </c>
    </row>
    <row r="122" spans="1:13" x14ac:dyDescent="0.3">
      <c r="A122" s="31">
        <v>77</v>
      </c>
      <c r="B122" s="4">
        <v>3.3260000000000001</v>
      </c>
      <c r="C122" s="4">
        <v>5.3819999999999997</v>
      </c>
      <c r="D122" s="31">
        <f t="shared" si="20"/>
        <v>1.9393358629017809E-2</v>
      </c>
      <c r="E122" s="57">
        <f t="shared" si="21"/>
        <v>-9.3933586290178006E-3</v>
      </c>
      <c r="F122" s="30">
        <f t="shared" si="17"/>
        <v>-0.53387413055813915</v>
      </c>
      <c r="G122">
        <f t="shared" si="18"/>
        <v>0.29671431061397702</v>
      </c>
      <c r="H122">
        <f t="shared" si="19"/>
        <v>1.1714310613977041E-2</v>
      </c>
      <c r="M122" s="39">
        <f t="shared" si="22"/>
        <v>1.1972765244713823E-3</v>
      </c>
    </row>
    <row r="123" spans="1:13" x14ac:dyDescent="0.3">
      <c r="A123" s="31">
        <v>78</v>
      </c>
      <c r="B123" s="4">
        <v>-0.55000000000000004</v>
      </c>
      <c r="C123" s="4">
        <v>5.4</v>
      </c>
      <c r="D123" s="31">
        <f t="shared" si="20"/>
        <v>2.8252230453570504E-2</v>
      </c>
      <c r="E123" s="57">
        <f t="shared" si="21"/>
        <v>-1.8252230453570495E-2</v>
      </c>
      <c r="F123" s="30">
        <f t="shared" si="17"/>
        <v>-0.51171716370657561</v>
      </c>
      <c r="G123">
        <f t="shared" si="18"/>
        <v>0.30442448600202321</v>
      </c>
      <c r="H123">
        <f t="shared" si="19"/>
        <v>9.4244860020232246E-3</v>
      </c>
      <c r="M123" s="39">
        <f t="shared" si="22"/>
        <v>9.9211090952902158E-4</v>
      </c>
    </row>
    <row r="124" spans="1:13" x14ac:dyDescent="0.3">
      <c r="A124" s="31">
        <v>79</v>
      </c>
      <c r="B124" s="3">
        <v>6.3780000000000001</v>
      </c>
      <c r="C124" s="4">
        <v>5.5540000000000003</v>
      </c>
      <c r="D124" s="31">
        <f t="shared" si="20"/>
        <v>2.8604090320928144E-2</v>
      </c>
      <c r="E124" s="57">
        <f t="shared" si="21"/>
        <v>-1.8604090320928135E-2</v>
      </c>
      <c r="F124" s="30">
        <f t="shared" si="17"/>
        <v>-0.509702893992797</v>
      </c>
      <c r="G124">
        <f t="shared" si="18"/>
        <v>0.30512981260263394</v>
      </c>
      <c r="H124">
        <f t="shared" si="19"/>
        <v>1.2981260263394967E-4</v>
      </c>
      <c r="M124" s="39">
        <f t="shared" si="22"/>
        <v>8.6807177864830522E-4</v>
      </c>
    </row>
    <row r="125" spans="1:13" x14ac:dyDescent="0.3">
      <c r="A125" s="31">
        <v>80</v>
      </c>
      <c r="B125" s="3">
        <v>3.33</v>
      </c>
      <c r="C125" s="4">
        <v>5.8529999999999998</v>
      </c>
      <c r="D125" s="31">
        <f t="shared" si="20"/>
        <v>2.0472030602030289E-2</v>
      </c>
      <c r="E125" s="57">
        <f t="shared" si="21"/>
        <v>-1.047203060203028E-2</v>
      </c>
      <c r="F125" s="30">
        <f t="shared" si="17"/>
        <v>-0.50567435456524013</v>
      </c>
      <c r="G125">
        <f t="shared" si="18"/>
        <v>0.30654263722758301</v>
      </c>
      <c r="H125">
        <f t="shared" si="19"/>
        <v>8.4573627724169875E-3</v>
      </c>
      <c r="M125" s="39">
        <f t="shared" si="22"/>
        <v>8.3333400856952598E-4</v>
      </c>
    </row>
    <row r="126" spans="1:13" x14ac:dyDescent="0.3">
      <c r="A126" s="31">
        <v>81</v>
      </c>
      <c r="B126" s="3">
        <v>-8.7200000000000006</v>
      </c>
      <c r="C126" s="4">
        <v>5.8760000000000003</v>
      </c>
      <c r="D126" s="31">
        <f t="shared" si="20"/>
        <v>2.9110744099562602E-2</v>
      </c>
      <c r="E126" s="57">
        <f t="shared" si="21"/>
        <v>-1.9110744099562593E-2</v>
      </c>
      <c r="F126" s="30">
        <f t="shared" si="17"/>
        <v>-0.47948884828611937</v>
      </c>
      <c r="G126">
        <f t="shared" si="18"/>
        <v>0.31579544986553143</v>
      </c>
      <c r="H126">
        <f t="shared" si="19"/>
        <v>9.2045501344685809E-3</v>
      </c>
      <c r="M126" s="39">
        <f t="shared" si="22"/>
        <v>8.3822834403429129E-4</v>
      </c>
    </row>
    <row r="127" spans="1:13" x14ac:dyDescent="0.3">
      <c r="A127" s="31">
        <v>82</v>
      </c>
      <c r="B127" s="4">
        <v>-2.09</v>
      </c>
      <c r="C127" s="3">
        <v>5.9050000000000002</v>
      </c>
      <c r="D127" s="31">
        <f t="shared" si="20"/>
        <v>3.7401247354091782E-2</v>
      </c>
      <c r="E127" s="57">
        <f t="shared" si="21"/>
        <v>-2.7401247354091884E-2</v>
      </c>
      <c r="F127" s="30">
        <f t="shared" si="17"/>
        <v>-0.46538896028966986</v>
      </c>
      <c r="G127">
        <f t="shared" si="18"/>
        <v>0.32082646926143016</v>
      </c>
      <c r="H127">
        <f t="shared" si="19"/>
        <v>1.4173530738569862E-2</v>
      </c>
      <c r="M127" s="39">
        <f t="shared" si="22"/>
        <v>8.3346118677271239E-4</v>
      </c>
    </row>
    <row r="128" spans="1:13" x14ac:dyDescent="0.3">
      <c r="A128" s="31">
        <v>83</v>
      </c>
      <c r="B128" s="4">
        <v>1.6060000000000001</v>
      </c>
      <c r="C128" s="4">
        <v>6.0250000000000004</v>
      </c>
      <c r="D128" s="31">
        <f t="shared" si="20"/>
        <v>4.0409839893563615E-2</v>
      </c>
      <c r="E128" s="57">
        <f t="shared" si="21"/>
        <v>-3.0409839893563606E-2</v>
      </c>
      <c r="F128" s="30">
        <f t="shared" si="17"/>
        <v>-0.44726053286566325</v>
      </c>
      <c r="G128">
        <f t="shared" si="18"/>
        <v>0.32734347983528062</v>
      </c>
      <c r="H128">
        <f t="shared" si="19"/>
        <v>1.7656520164719358E-2</v>
      </c>
      <c r="M128" s="39">
        <f t="shared" si="22"/>
        <v>8.3494943874760756E-4</v>
      </c>
    </row>
    <row r="129" spans="1:13" x14ac:dyDescent="0.3">
      <c r="A129" s="31">
        <v>84</v>
      </c>
      <c r="B129" s="4">
        <v>-5.89</v>
      </c>
      <c r="C129" s="4">
        <v>6.0350000000000001</v>
      </c>
      <c r="D129" s="31">
        <f t="shared" si="20"/>
        <v>4.9833241575653831E-2</v>
      </c>
      <c r="E129" s="57">
        <f t="shared" si="21"/>
        <v>-3.9833241575653822E-2</v>
      </c>
      <c r="F129" s="30">
        <f t="shared" si="17"/>
        <v>-0.43920345401054922</v>
      </c>
      <c r="G129">
        <f t="shared" si="18"/>
        <v>0.33025706127346849</v>
      </c>
      <c r="H129">
        <f t="shared" si="19"/>
        <v>2.4742938726531494E-2</v>
      </c>
      <c r="M129" s="39">
        <f t="shared" si="22"/>
        <v>8.7821767392990324E-4</v>
      </c>
    </row>
    <row r="130" spans="1:13" x14ac:dyDescent="0.3">
      <c r="A130" s="31">
        <v>85</v>
      </c>
      <c r="B130" s="4">
        <v>5.4</v>
      </c>
      <c r="C130" s="4">
        <v>6.1079999999999997</v>
      </c>
      <c r="D130" s="31">
        <f t="shared" si="20"/>
        <v>5.5652294649989997E-2</v>
      </c>
      <c r="E130" s="57">
        <f t="shared" si="21"/>
        <v>-4.5652294649989988E-2</v>
      </c>
      <c r="F130" s="30">
        <f t="shared" si="17"/>
        <v>-0.38924956510884212</v>
      </c>
      <c r="G130">
        <f t="shared" si="18"/>
        <v>0.34854577059786607</v>
      </c>
      <c r="H130">
        <f t="shared" si="19"/>
        <v>1.6454229402133924E-2</v>
      </c>
      <c r="M130" s="39">
        <f t="shared" si="22"/>
        <v>8.5971769401520161E-4</v>
      </c>
    </row>
    <row r="131" spans="1:13" x14ac:dyDescent="0.3">
      <c r="A131" s="31">
        <v>86</v>
      </c>
      <c r="B131" s="4">
        <v>11.83</v>
      </c>
      <c r="C131" s="3">
        <v>6.3780000000000001</v>
      </c>
      <c r="D131" s="31">
        <f t="shared" si="20"/>
        <v>5.0623762704438358E-2</v>
      </c>
      <c r="E131" s="57">
        <f t="shared" si="21"/>
        <v>-4.0623762704438349E-2</v>
      </c>
      <c r="F131" s="30">
        <f t="shared" si="17"/>
        <v>-0.29981598981707624</v>
      </c>
      <c r="G131">
        <f t="shared" si="18"/>
        <v>0.38215875898942897</v>
      </c>
      <c r="H131">
        <f t="shared" si="19"/>
        <v>7.1587589894289705E-3</v>
      </c>
      <c r="M131" s="39">
        <f t="shared" si="22"/>
        <v>8.9184040629222249E-4</v>
      </c>
    </row>
    <row r="132" spans="1:13" x14ac:dyDescent="0.3">
      <c r="A132" s="31">
        <v>87</v>
      </c>
      <c r="B132" s="4">
        <v>-6.31</v>
      </c>
      <c r="C132" s="4">
        <v>6.4390000000000001</v>
      </c>
      <c r="D132" s="31">
        <f t="shared" si="20"/>
        <v>5.732417146818336E-2</v>
      </c>
      <c r="E132" s="57">
        <f t="shared" si="21"/>
        <v>-4.7324171468183351E-2</v>
      </c>
      <c r="F132" s="30">
        <f t="shared" si="17"/>
        <v>-0.28692466364889374</v>
      </c>
      <c r="G132">
        <f t="shared" si="18"/>
        <v>0.38708500263289158</v>
      </c>
      <c r="H132">
        <f t="shared" si="19"/>
        <v>2.0850026328915749E-3</v>
      </c>
      <c r="M132" s="39">
        <f t="shared" si="22"/>
        <v>1.0050627175143788E-3</v>
      </c>
    </row>
    <row r="133" spans="1:13" x14ac:dyDescent="0.3">
      <c r="A133" s="31">
        <v>88</v>
      </c>
      <c r="B133" s="4">
        <v>6.0350000000000001</v>
      </c>
      <c r="C133" s="4">
        <v>6.593</v>
      </c>
      <c r="D133" s="31">
        <f t="shared" si="20"/>
        <v>5.9152415993413032E-2</v>
      </c>
      <c r="E133" s="57">
        <f t="shared" si="21"/>
        <v>-4.9152415993413023E-2</v>
      </c>
      <c r="F133" s="30">
        <f t="shared" si="17"/>
        <v>-0.2653719777114637</v>
      </c>
      <c r="G133">
        <f t="shared" si="18"/>
        <v>0.39536146053032367</v>
      </c>
      <c r="H133">
        <f t="shared" si="19"/>
        <v>3.6146053032365399E-4</v>
      </c>
      <c r="M133" s="39">
        <f t="shared" si="22"/>
        <v>1.0405021059568546E-3</v>
      </c>
    </row>
    <row r="134" spans="1:13" x14ac:dyDescent="0.3">
      <c r="A134" s="31">
        <v>89</v>
      </c>
      <c r="B134" s="3">
        <v>4.5819999999999999</v>
      </c>
      <c r="C134" s="4">
        <v>6.6269999999999998</v>
      </c>
      <c r="D134" s="31">
        <f t="shared" si="20"/>
        <v>6.73789394124924E-2</v>
      </c>
      <c r="E134" s="57">
        <f t="shared" si="21"/>
        <v>-5.7378939412492391E-2</v>
      </c>
      <c r="F134" s="30">
        <f t="shared" si="17"/>
        <v>-0.22730228012104986</v>
      </c>
      <c r="G134">
        <f t="shared" si="18"/>
        <v>0.41009435011450612</v>
      </c>
      <c r="H134">
        <f t="shared" si="19"/>
        <v>5.0943501145060965E-3</v>
      </c>
      <c r="M134" s="39">
        <f t="shared" si="22"/>
        <v>1.3739995543992846E-3</v>
      </c>
    </row>
    <row r="135" spans="1:13" x14ac:dyDescent="0.3">
      <c r="A135" s="31">
        <v>90</v>
      </c>
      <c r="B135" s="3">
        <v>2.8540000000000001</v>
      </c>
      <c r="C135" s="4">
        <v>6.8559999999999999</v>
      </c>
      <c r="D135" s="31">
        <f t="shared" si="20"/>
        <v>6.5724346945341572E-2</v>
      </c>
      <c r="E135" s="57">
        <f t="shared" si="21"/>
        <v>-5.5724346945341563E-2</v>
      </c>
      <c r="F135" s="30">
        <f t="shared" si="17"/>
        <v>-0.20756243692602044</v>
      </c>
      <c r="G135">
        <f t="shared" si="18"/>
        <v>0.41778531827151122</v>
      </c>
      <c r="H135">
        <f t="shared" si="19"/>
        <v>2.785318271511239E-3</v>
      </c>
      <c r="M135" s="39">
        <f t="shared" si="22"/>
        <v>1.3904864132118669E-3</v>
      </c>
    </row>
    <row r="136" spans="1:13" x14ac:dyDescent="0.3">
      <c r="A136" s="31">
        <v>91</v>
      </c>
      <c r="B136" s="3">
        <v>-6.09</v>
      </c>
      <c r="C136" s="4">
        <v>7.5739999999999998</v>
      </c>
      <c r="D136" s="31">
        <f t="shared" si="20"/>
        <v>4.2468068241773183E-2</v>
      </c>
      <c r="E136" s="57">
        <f t="shared" si="21"/>
        <v>-3.2468068241773174E-2</v>
      </c>
      <c r="F136" s="30">
        <f t="shared" si="17"/>
        <v>-0.19688680744299433</v>
      </c>
      <c r="G136">
        <f t="shared" si="18"/>
        <v>0.42195805887384635</v>
      </c>
      <c r="H136">
        <f t="shared" si="19"/>
        <v>3.0419411261536355E-3</v>
      </c>
      <c r="M136" s="39">
        <f t="shared" si="22"/>
        <v>1.0727170642834949E-3</v>
      </c>
    </row>
    <row r="137" spans="1:13" x14ac:dyDescent="0.3">
      <c r="A137" s="31">
        <v>92</v>
      </c>
      <c r="B137" s="4">
        <v>5.8000000000000003E-2</v>
      </c>
      <c r="C137" s="3">
        <v>7.7549999999999999</v>
      </c>
      <c r="D137" s="31">
        <f t="shared" si="20"/>
        <v>4.4866117770699154E-2</v>
      </c>
      <c r="E137" s="57">
        <f t="shared" si="21"/>
        <v>-3.4866117770699145E-2</v>
      </c>
      <c r="F137" s="30">
        <f t="shared" si="17"/>
        <v>-0.14773862642679866</v>
      </c>
      <c r="G137">
        <f t="shared" si="18"/>
        <v>0.44127452331739259</v>
      </c>
      <c r="H137">
        <f t="shared" si="19"/>
        <v>6.2745233173925885E-3</v>
      </c>
      <c r="M137" s="39">
        <f t="shared" si="22"/>
        <v>1.414661314367926E-3</v>
      </c>
    </row>
    <row r="138" spans="1:13" x14ac:dyDescent="0.3">
      <c r="A138" s="31">
        <v>93</v>
      </c>
      <c r="B138" s="4">
        <v>4.3049999999999997</v>
      </c>
      <c r="C138" s="4">
        <v>8.5090000000000003</v>
      </c>
      <c r="D138" s="31">
        <f t="shared" si="20"/>
        <v>2.6492381907118112E-2</v>
      </c>
      <c r="E138" s="57">
        <f t="shared" si="21"/>
        <v>-1.6492381907118103E-2</v>
      </c>
      <c r="F138" s="30">
        <f t="shared" si="17"/>
        <v>-7.7440613415928589E-2</v>
      </c>
      <c r="G138">
        <f t="shared" si="18"/>
        <v>0.46913651646845034</v>
      </c>
      <c r="H138">
        <f t="shared" si="19"/>
        <v>2.4136516468450331E-2</v>
      </c>
      <c r="M138" s="39">
        <f t="shared" si="22"/>
        <v>1.8831741634343729E-3</v>
      </c>
    </row>
    <row r="139" spans="1:13" x14ac:dyDescent="0.3">
      <c r="A139" s="31">
        <v>94</v>
      </c>
      <c r="B139" s="4">
        <v>4.2560000000000002</v>
      </c>
      <c r="C139" s="4">
        <v>9.0730000000000004</v>
      </c>
      <c r="D139" s="31">
        <f t="shared" si="20"/>
        <v>1.8592904405875466E-2</v>
      </c>
      <c r="E139" s="57">
        <f t="shared" si="21"/>
        <v>-8.5929044058755677E-3</v>
      </c>
      <c r="F139" s="30">
        <f t="shared" si="17"/>
        <v>-6.7167837875658207E-2</v>
      </c>
      <c r="G139">
        <f t="shared" si="18"/>
        <v>0.47322404446987271</v>
      </c>
      <c r="H139">
        <f t="shared" si="19"/>
        <v>1.8224044469872691E-2</v>
      </c>
      <c r="M139" s="39">
        <f t="shared" si="22"/>
        <v>2.0871900946211421E-3</v>
      </c>
    </row>
    <row r="140" spans="1:13" x14ac:dyDescent="0.3">
      <c r="A140" s="31">
        <v>95</v>
      </c>
      <c r="B140" s="4">
        <v>5.0620000000000003</v>
      </c>
      <c r="C140" s="4">
        <v>9.8360000000000003</v>
      </c>
      <c r="D140" s="31">
        <f t="shared" si="20"/>
        <v>8.5339752352072695E-3</v>
      </c>
      <c r="E140" s="57">
        <f t="shared" si="21"/>
        <v>1.4660247647927394E-3</v>
      </c>
      <c r="F140" s="30">
        <f t="shared" si="17"/>
        <v>-6.4549287247746154E-2</v>
      </c>
      <c r="G140">
        <f t="shared" si="18"/>
        <v>0.47426643167931221</v>
      </c>
      <c r="H140">
        <f t="shared" si="19"/>
        <v>9.2664316793121815E-3</v>
      </c>
      <c r="M140" s="39">
        <f t="shared" si="22"/>
        <v>2.8433528835142682E-3</v>
      </c>
    </row>
    <row r="141" spans="1:13" x14ac:dyDescent="0.3">
      <c r="A141" s="31">
        <v>96</v>
      </c>
      <c r="B141" s="4">
        <v>9.0730000000000004</v>
      </c>
      <c r="C141" s="4">
        <v>11.83</v>
      </c>
      <c r="D141" s="31">
        <f t="shared" si="20"/>
        <v>-1.5350694694406974E-2</v>
      </c>
      <c r="E141" s="57">
        <f t="shared" si="21"/>
        <v>2.5350694694406983E-2</v>
      </c>
      <c r="F141" s="30">
        <f t="shared" si="17"/>
        <v>-5.9312185991922027E-2</v>
      </c>
      <c r="G141">
        <f t="shared" si="18"/>
        <v>0.47635172759280936</v>
      </c>
      <c r="H141">
        <f t="shared" si="19"/>
        <v>1.3517275928093819E-3</v>
      </c>
      <c r="M141" s="39">
        <f t="shared" si="22"/>
        <v>3.3989882866427385E-3</v>
      </c>
    </row>
    <row r="142" spans="1:13" x14ac:dyDescent="0.3">
      <c r="A142" s="31">
        <v>97</v>
      </c>
      <c r="B142" s="4">
        <v>1.2569999999999999</v>
      </c>
      <c r="C142" s="4">
        <v>12.65</v>
      </c>
      <c r="D142" s="31">
        <f t="shared" si="20"/>
        <v>-1.341419331639504E-2</v>
      </c>
      <c r="E142" s="57">
        <f t="shared" si="21"/>
        <v>2.3414193316395049E-2</v>
      </c>
      <c r="F142" s="30">
        <f t="shared" si="17"/>
        <v>-5.0449399251296566E-2</v>
      </c>
      <c r="G142">
        <f t="shared" si="18"/>
        <v>0.47988213578270189</v>
      </c>
      <c r="H142">
        <f t="shared" si="19"/>
        <v>5.1178642172980959E-3</v>
      </c>
      <c r="M142" s="39">
        <f t="shared" si="22"/>
        <v>2.9148610566442335E-3</v>
      </c>
    </row>
    <row r="143" spans="1:13" x14ac:dyDescent="0.3">
      <c r="A143" s="31">
        <v>98</v>
      </c>
      <c r="B143" s="4">
        <v>-3.47</v>
      </c>
      <c r="C143" s="4">
        <v>12.8</v>
      </c>
      <c r="D143" s="31">
        <f t="shared" si="20"/>
        <v>-4.6136652160745362E-3</v>
      </c>
      <c r="E143" s="57">
        <f t="shared" si="21"/>
        <v>1.4613665216074545E-2</v>
      </c>
      <c r="F143" s="30">
        <f t="shared" si="17"/>
        <v>-4.5816578909606012E-2</v>
      </c>
      <c r="G143">
        <f t="shared" si="18"/>
        <v>0.48172822231393714</v>
      </c>
      <c r="H143">
        <f t="shared" si="19"/>
        <v>1.3271777686062858E-2</v>
      </c>
      <c r="M143" s="39">
        <f t="shared" si="22"/>
        <v>3.5711522531651865E-3</v>
      </c>
    </row>
    <row r="144" spans="1:13" x14ac:dyDescent="0.3">
      <c r="A144" s="31">
        <v>99</v>
      </c>
      <c r="B144" s="3">
        <v>5.1760000000000002</v>
      </c>
      <c r="C144" s="3">
        <v>13</v>
      </c>
      <c r="D144" s="31">
        <f t="shared" si="20"/>
        <v>3.9034475134985813E-3</v>
      </c>
      <c r="E144" s="57">
        <f t="shared" si="21"/>
        <v>6.0965524865014276E-3</v>
      </c>
      <c r="F144" s="30">
        <f t="shared" si="17"/>
        <v>4.9430178776125122E-3</v>
      </c>
      <c r="G144">
        <f t="shared" si="18"/>
        <v>0.50197197079382283</v>
      </c>
      <c r="H144">
        <f t="shared" si="19"/>
        <v>3.0280292061771741E-3</v>
      </c>
      <c r="M144" s="39">
        <f t="shared" si="22"/>
        <v>3.7658174912569885E-3</v>
      </c>
    </row>
    <row r="145" spans="1:13" x14ac:dyDescent="0.3">
      <c r="A145" s="31">
        <v>100</v>
      </c>
      <c r="B145" s="3">
        <v>0.502</v>
      </c>
      <c r="C145" s="3">
        <v>17.579999999999998</v>
      </c>
      <c r="D145" s="31">
        <f t="shared" si="20"/>
        <v>9.1661136226084405E-4</v>
      </c>
      <c r="E145" s="57">
        <f t="shared" si="21"/>
        <v>9.0833886377391648E-3</v>
      </c>
      <c r="F145" s="30">
        <f t="shared" si="17"/>
        <v>1.1388680961703753E-2</v>
      </c>
      <c r="G145">
        <f t="shared" si="18"/>
        <v>0.50454332814024883</v>
      </c>
      <c r="H145">
        <f t="shared" si="19"/>
        <v>1.0456671859751188E-2</v>
      </c>
      <c r="M145" s="39">
        <f t="shared" si="22"/>
        <v>4.7244654155607305E-3</v>
      </c>
    </row>
    <row r="146" spans="1:13" x14ac:dyDescent="0.3">
      <c r="B146" s="35"/>
      <c r="F146" s="30">
        <f t="shared" si="17"/>
        <v>1.9848613759573461E-2</v>
      </c>
      <c r="G146">
        <f t="shared" si="18"/>
        <v>0.5079179313314115</v>
      </c>
      <c r="H146">
        <f t="shared" si="19"/>
        <v>1.7082068668588524E-2</v>
      </c>
      <c r="M146" s="39">
        <f t="shared" si="22"/>
        <v>4.5207796452715471E-3</v>
      </c>
    </row>
    <row r="147" spans="1:13" x14ac:dyDescent="0.3">
      <c r="F147" s="30">
        <f t="shared" si="17"/>
        <v>0.12096495339125476</v>
      </c>
      <c r="G147">
        <f t="shared" si="18"/>
        <v>0.54814060277745913</v>
      </c>
      <c r="H147">
        <f t="shared" si="19"/>
        <v>1.3140602777459098E-2</v>
      </c>
      <c r="M147" s="39">
        <f t="shared" si="22"/>
        <v>2.2371894711035053E-3</v>
      </c>
    </row>
    <row r="148" spans="1:13" x14ac:dyDescent="0.3">
      <c r="F148" s="30">
        <f t="shared" si="17"/>
        <v>0.1334534256166815</v>
      </c>
      <c r="G148">
        <f t="shared" si="18"/>
        <v>0.55308260215415728</v>
      </c>
      <c r="H148">
        <f t="shared" si="19"/>
        <v>8.0826021541572368E-3</v>
      </c>
      <c r="M148" s="39">
        <f t="shared" si="22"/>
        <v>2.4226406794405878E-3</v>
      </c>
    </row>
    <row r="149" spans="1:13" x14ac:dyDescent="0.3">
      <c r="F149" s="30">
        <f t="shared" si="17"/>
        <v>0.1533946957830887</v>
      </c>
      <c r="G149">
        <f t="shared" si="18"/>
        <v>0.56095648623092731</v>
      </c>
      <c r="H149">
        <f t="shared" si="19"/>
        <v>5.9564862309272604E-3</v>
      </c>
      <c r="M149" s="39">
        <f t="shared" si="22"/>
        <v>1.2952558133747512E-3</v>
      </c>
    </row>
    <row r="150" spans="1:13" x14ac:dyDescent="0.3">
      <c r="F150" s="30">
        <f t="shared" si="17"/>
        <v>0.17394024686362958</v>
      </c>
      <c r="G150">
        <f t="shared" si="18"/>
        <v>0.56904378885299289</v>
      </c>
      <c r="H150">
        <f t="shared" si="19"/>
        <v>4.0437888529929467E-3</v>
      </c>
      <c r="M150" s="39">
        <f t="shared" si="22"/>
        <v>1.0181003835206049E-3</v>
      </c>
    </row>
    <row r="151" spans="1:13" x14ac:dyDescent="0.3">
      <c r="F151" s="30">
        <f t="shared" si="17"/>
        <v>0.25833814787094922</v>
      </c>
      <c r="G151">
        <f t="shared" si="18"/>
        <v>0.60192702627764183</v>
      </c>
      <c r="H151">
        <f t="shared" si="19"/>
        <v>2.6927026277641875E-2</v>
      </c>
      <c r="M151" s="39">
        <f t="shared" si="22"/>
        <v>8.4582231429639163E-4</v>
      </c>
    </row>
    <row r="152" spans="1:13" x14ac:dyDescent="0.3">
      <c r="F152" s="30">
        <f t="shared" si="17"/>
        <v>0.2690137773539753</v>
      </c>
      <c r="G152">
        <f t="shared" si="18"/>
        <v>0.60604045971899723</v>
      </c>
      <c r="H152">
        <f t="shared" si="19"/>
        <v>2.1040459718997262E-2</v>
      </c>
      <c r="M152" s="39">
        <f t="shared" si="22"/>
        <v>1.2474841078782978E-3</v>
      </c>
    </row>
    <row r="153" spans="1:13" x14ac:dyDescent="0.3">
      <c r="F153" s="30">
        <f t="shared" si="17"/>
        <v>0.26981948523948668</v>
      </c>
      <c r="G153">
        <f t="shared" si="18"/>
        <v>0.6063504342180549</v>
      </c>
      <c r="H153">
        <f t="shared" si="19"/>
        <v>1.1350434218054928E-2</v>
      </c>
      <c r="M153" s="39">
        <f t="shared" ref="M153:M184" si="23">1/1200+POWER((_xlfn.NORM.DIST(C142,2,5,TRUE))-((2*A142-1)/(2*100)),2)</f>
        <v>1.1724158488269013E-3</v>
      </c>
    </row>
    <row r="154" spans="1:13" x14ac:dyDescent="0.3">
      <c r="F154" s="30">
        <f t="shared" si="17"/>
        <v>0.32078050899808302</v>
      </c>
      <c r="G154">
        <f t="shared" si="18"/>
        <v>0.6258116344880571</v>
      </c>
      <c r="H154">
        <f t="shared" si="19"/>
        <v>2.0811634488057118E-2</v>
      </c>
      <c r="M154" s="39">
        <f t="shared" si="23"/>
        <v>9.257558922200949E-4</v>
      </c>
    </row>
    <row r="155" spans="1:13" x14ac:dyDescent="0.3">
      <c r="F155" s="30">
        <f t="shared" si="17"/>
        <v>0.33588753185142184</v>
      </c>
      <c r="G155">
        <f t="shared" si="18"/>
        <v>0.63152216023121355</v>
      </c>
      <c r="H155">
        <f t="shared" si="19"/>
        <v>1.6522160231213556E-2</v>
      </c>
      <c r="M155" s="39">
        <f t="shared" si="23"/>
        <v>8.3453576068898583E-4</v>
      </c>
    </row>
    <row r="156" spans="1:13" x14ac:dyDescent="0.3">
      <c r="F156" s="30">
        <f t="shared" si="17"/>
        <v>0.3493831389337379</v>
      </c>
      <c r="G156">
        <f t="shared" si="18"/>
        <v>0.63659915504052844</v>
      </c>
      <c r="H156">
        <f t="shared" si="19"/>
        <v>1.1599155040528442E-2</v>
      </c>
      <c r="M156" s="39">
        <f t="shared" si="23"/>
        <v>8.5000739610015068E-4</v>
      </c>
    </row>
    <row r="157" spans="1:13" x14ac:dyDescent="0.3">
      <c r="F157" s="30">
        <f t="shared" si="17"/>
        <v>0.35945448750263043</v>
      </c>
      <c r="G157">
        <f t="shared" si="18"/>
        <v>0.64037244029010931</v>
      </c>
      <c r="H157">
        <f t="shared" si="19"/>
        <v>5.3724402901093038E-3</v>
      </c>
    </row>
    <row r="158" spans="1:13" x14ac:dyDescent="0.3">
      <c r="F158" s="30">
        <f t="shared" si="17"/>
        <v>0.43297533205554606</v>
      </c>
      <c r="G158">
        <f t="shared" si="18"/>
        <v>0.66748365457933256</v>
      </c>
      <c r="H158">
        <f t="shared" si="19"/>
        <v>2.2483654579332546E-2</v>
      </c>
    </row>
    <row r="159" spans="1:13" x14ac:dyDescent="0.3">
      <c r="F159" s="30">
        <f t="shared" ref="F159:F193" si="24">(C111-$H$63)/$H$64</f>
        <v>0.45634086073537689</v>
      </c>
      <c r="G159">
        <f t="shared" ref="G159:G193" si="25">_xlfn.NORM.S.DIST(F159, TRUE)</f>
        <v>0.67592755729124931</v>
      </c>
      <c r="H159">
        <f t="shared" ref="H159:H193" si="26">ABS(G159 - (2*A111-1)/200)</f>
        <v>2.0927557291249288E-2</v>
      </c>
    </row>
    <row r="160" spans="1:13" x14ac:dyDescent="0.3">
      <c r="F160" s="30">
        <f t="shared" si="24"/>
        <v>0.46621078233289148</v>
      </c>
      <c r="G160">
        <f t="shared" si="25"/>
        <v>0.67946768389263357</v>
      </c>
      <c r="H160">
        <f t="shared" si="26"/>
        <v>1.4467683892633532E-2</v>
      </c>
    </row>
    <row r="161" spans="6:8" x14ac:dyDescent="0.3">
      <c r="F161" s="30">
        <f t="shared" si="24"/>
        <v>0.47547642301627269</v>
      </c>
      <c r="G161">
        <f t="shared" si="25"/>
        <v>0.68277628290885817</v>
      </c>
      <c r="H161">
        <f t="shared" si="26"/>
        <v>7.7762829088581231E-3</v>
      </c>
    </row>
    <row r="162" spans="6:8" x14ac:dyDescent="0.3">
      <c r="F162" s="30">
        <f t="shared" si="24"/>
        <v>0.48715918735618802</v>
      </c>
      <c r="G162">
        <f t="shared" si="25"/>
        <v>0.68692723739668693</v>
      </c>
      <c r="H162">
        <f t="shared" si="26"/>
        <v>1.9272373966868761E-3</v>
      </c>
    </row>
    <row r="163" spans="6:8" x14ac:dyDescent="0.3">
      <c r="F163" s="30">
        <f t="shared" si="24"/>
        <v>0.5220060534045563</v>
      </c>
      <c r="G163">
        <f t="shared" si="25"/>
        <v>0.69916694207346686</v>
      </c>
      <c r="H163">
        <f t="shared" si="26"/>
        <v>4.166942073466906E-3</v>
      </c>
    </row>
    <row r="164" spans="6:8" x14ac:dyDescent="0.3">
      <c r="F164" s="30">
        <f t="shared" si="24"/>
        <v>0.5435587393419864</v>
      </c>
      <c r="G164">
        <f t="shared" si="25"/>
        <v>0.70662742025280023</v>
      </c>
      <c r="H164">
        <f t="shared" si="26"/>
        <v>1.6274202528002712E-3</v>
      </c>
    </row>
    <row r="165" spans="6:8" x14ac:dyDescent="0.3">
      <c r="F165" s="30">
        <f t="shared" si="24"/>
        <v>0.57780132447622101</v>
      </c>
      <c r="G165">
        <f t="shared" si="25"/>
        <v>0.71830086951262495</v>
      </c>
      <c r="H165">
        <f t="shared" si="26"/>
        <v>3.3008695126249821E-3</v>
      </c>
    </row>
    <row r="166" spans="6:8" x14ac:dyDescent="0.3">
      <c r="F166" s="30">
        <f t="shared" si="24"/>
        <v>0.5838441336175566</v>
      </c>
      <c r="G166">
        <f t="shared" si="25"/>
        <v>0.72033740878212038</v>
      </c>
      <c r="H166">
        <f t="shared" si="26"/>
        <v>4.662591217879597E-3</v>
      </c>
    </row>
    <row r="167" spans="6:8" x14ac:dyDescent="0.3">
      <c r="F167" s="30">
        <f t="shared" si="24"/>
        <v>0.61869099966592489</v>
      </c>
      <c r="G167">
        <f t="shared" si="25"/>
        <v>0.73194002983648254</v>
      </c>
      <c r="H167">
        <f t="shared" si="26"/>
        <v>3.0599701635174448E-3</v>
      </c>
    </row>
    <row r="168" spans="6:8" x14ac:dyDescent="0.3">
      <c r="F168" s="30">
        <f t="shared" si="24"/>
        <v>0.64165367440299992</v>
      </c>
      <c r="G168">
        <f t="shared" si="25"/>
        <v>0.73945096285121015</v>
      </c>
      <c r="H168">
        <f t="shared" si="26"/>
        <v>5.5490371487898482E-3</v>
      </c>
    </row>
    <row r="169" spans="6:8" x14ac:dyDescent="0.3">
      <c r="F169" s="30">
        <f t="shared" si="24"/>
        <v>0.65575356239944949</v>
      </c>
      <c r="G169">
        <f t="shared" si="25"/>
        <v>0.7440086501822808</v>
      </c>
      <c r="H169">
        <f t="shared" si="26"/>
        <v>1.0991349817719209E-2</v>
      </c>
    </row>
    <row r="170" spans="6:8" x14ac:dyDescent="0.3">
      <c r="F170" s="30">
        <f t="shared" si="24"/>
        <v>0.68314763050683713</v>
      </c>
      <c r="G170">
        <f t="shared" si="25"/>
        <v>0.75274321969118119</v>
      </c>
      <c r="H170">
        <f t="shared" si="26"/>
        <v>1.2256780308818827E-2</v>
      </c>
    </row>
    <row r="171" spans="6:8" x14ac:dyDescent="0.3">
      <c r="F171" s="30">
        <f t="shared" si="24"/>
        <v>0.6867733159916386</v>
      </c>
      <c r="G171">
        <f t="shared" si="25"/>
        <v>0.75388720622387884</v>
      </c>
      <c r="H171">
        <f t="shared" si="26"/>
        <v>2.1112793776121186E-2</v>
      </c>
    </row>
    <row r="172" spans="6:8" x14ac:dyDescent="0.3">
      <c r="F172" s="30">
        <f t="shared" si="24"/>
        <v>0.7177930695838276</v>
      </c>
      <c r="G172">
        <f t="shared" si="25"/>
        <v>0.7635575563916307</v>
      </c>
      <c r="H172">
        <f t="shared" si="26"/>
        <v>2.1442443608369333E-2</v>
      </c>
    </row>
    <row r="173" spans="6:8" x14ac:dyDescent="0.3">
      <c r="F173" s="30">
        <f t="shared" si="24"/>
        <v>0.77801973402580504</v>
      </c>
      <c r="G173">
        <f t="shared" si="25"/>
        <v>0.78172131022691582</v>
      </c>
      <c r="H173">
        <f t="shared" si="26"/>
        <v>1.3278689773084218E-2</v>
      </c>
    </row>
    <row r="174" spans="6:8" x14ac:dyDescent="0.3">
      <c r="F174" s="30">
        <f t="shared" si="24"/>
        <v>0.7826525543674957</v>
      </c>
      <c r="G174">
        <f t="shared" si="25"/>
        <v>0.78308441455914468</v>
      </c>
      <c r="H174">
        <f t="shared" si="26"/>
        <v>2.1915585440855367E-2</v>
      </c>
    </row>
    <row r="175" spans="6:8" x14ac:dyDescent="0.3">
      <c r="F175" s="30">
        <f t="shared" si="24"/>
        <v>0.78849393653745337</v>
      </c>
      <c r="G175">
        <f t="shared" si="25"/>
        <v>0.78479607805499407</v>
      </c>
      <c r="H175">
        <f t="shared" si="26"/>
        <v>3.0203921945005874E-2</v>
      </c>
    </row>
    <row r="176" spans="6:8" x14ac:dyDescent="0.3">
      <c r="F176" s="30">
        <f t="shared" si="24"/>
        <v>0.81266517310279551</v>
      </c>
      <c r="G176">
        <f t="shared" si="25"/>
        <v>0.79179497297697599</v>
      </c>
      <c r="H176">
        <f t="shared" si="26"/>
        <v>3.320502702302397E-2</v>
      </c>
    </row>
    <row r="177" spans="6:8" x14ac:dyDescent="0.3">
      <c r="F177" s="30">
        <f t="shared" si="24"/>
        <v>0.81467944281657401</v>
      </c>
      <c r="G177">
        <f t="shared" si="25"/>
        <v>0.79237208828149219</v>
      </c>
      <c r="H177">
        <f t="shared" si="26"/>
        <v>4.2627911718507772E-2</v>
      </c>
    </row>
    <row r="178" spans="6:8" x14ac:dyDescent="0.3">
      <c r="F178" s="30">
        <f t="shared" si="24"/>
        <v>0.82938361172715702</v>
      </c>
      <c r="G178">
        <f t="shared" si="25"/>
        <v>0.79655631403859584</v>
      </c>
      <c r="H178">
        <f t="shared" si="26"/>
        <v>4.8443685961404137E-2</v>
      </c>
    </row>
    <row r="179" spans="6:8" x14ac:dyDescent="0.3">
      <c r="F179" s="30">
        <f t="shared" si="24"/>
        <v>0.88376889399917691</v>
      </c>
      <c r="G179">
        <f t="shared" si="25"/>
        <v>0.81158950937862562</v>
      </c>
      <c r="H179">
        <f t="shared" si="26"/>
        <v>4.3410490621374365E-2</v>
      </c>
    </row>
    <row r="180" spans="6:8" x14ac:dyDescent="0.3">
      <c r="F180" s="30">
        <f t="shared" si="24"/>
        <v>0.8960559392532258</v>
      </c>
      <c r="G180">
        <f t="shared" si="25"/>
        <v>0.81488855618217793</v>
      </c>
      <c r="H180">
        <f t="shared" si="26"/>
        <v>5.0111443817822066E-2</v>
      </c>
    </row>
    <row r="181" spans="6:8" x14ac:dyDescent="0.3">
      <c r="F181" s="30">
        <f t="shared" si="24"/>
        <v>0.92707569284541491</v>
      </c>
      <c r="G181">
        <f t="shared" si="25"/>
        <v>0.82305638223348132</v>
      </c>
      <c r="H181">
        <f t="shared" si="26"/>
        <v>5.1943617766518679E-2</v>
      </c>
    </row>
    <row r="182" spans="6:8" x14ac:dyDescent="0.3">
      <c r="F182" s="30">
        <f t="shared" si="24"/>
        <v>0.93392420987226177</v>
      </c>
      <c r="G182">
        <f t="shared" si="25"/>
        <v>0.82482850523062901</v>
      </c>
      <c r="H182">
        <f t="shared" si="26"/>
        <v>6.0171494769371003E-2</v>
      </c>
    </row>
    <row r="183" spans="6:8" x14ac:dyDescent="0.3">
      <c r="F183" s="30">
        <f t="shared" si="24"/>
        <v>0.98005098631778964</v>
      </c>
      <c r="G183">
        <f t="shared" si="25"/>
        <v>0.83646952426503951</v>
      </c>
      <c r="H183">
        <f t="shared" si="26"/>
        <v>5.8530475734960508E-2</v>
      </c>
    </row>
    <row r="184" spans="6:8" x14ac:dyDescent="0.3">
      <c r="F184" s="30">
        <f t="shared" si="24"/>
        <v>1.1246755517670868</v>
      </c>
      <c r="G184">
        <f t="shared" si="25"/>
        <v>0.86963672731380892</v>
      </c>
      <c r="H184">
        <f t="shared" si="26"/>
        <v>3.5363272686191105E-2</v>
      </c>
    </row>
    <row r="185" spans="6:8" x14ac:dyDescent="0.3">
      <c r="F185" s="30">
        <f t="shared" si="24"/>
        <v>1.1611338335864778</v>
      </c>
      <c r="G185">
        <f t="shared" si="25"/>
        <v>0.87720626125299328</v>
      </c>
      <c r="H185">
        <f t="shared" si="26"/>
        <v>3.7793738747006755E-2</v>
      </c>
    </row>
    <row r="186" spans="6:8" x14ac:dyDescent="0.3">
      <c r="F186" s="30">
        <f t="shared" si="24"/>
        <v>1.3130097700053776</v>
      </c>
      <c r="G186">
        <f t="shared" si="25"/>
        <v>0.90541017197830009</v>
      </c>
      <c r="H186">
        <f t="shared" si="26"/>
        <v>1.9589828021699951E-2</v>
      </c>
    </row>
    <row r="187" spans="6:8" x14ac:dyDescent="0.3">
      <c r="F187" s="30">
        <f t="shared" si="24"/>
        <v>1.4266145818624856</v>
      </c>
      <c r="G187">
        <f t="shared" si="25"/>
        <v>0.9231544906161625</v>
      </c>
      <c r="H187">
        <f t="shared" si="26"/>
        <v>1.1845509383837549E-2</v>
      </c>
    </row>
    <row r="188" spans="6:8" x14ac:dyDescent="0.3">
      <c r="F188" s="30">
        <f t="shared" si="24"/>
        <v>1.580303361023786</v>
      </c>
      <c r="G188">
        <f t="shared" si="25"/>
        <v>0.94298129473174452</v>
      </c>
      <c r="H188">
        <f t="shared" si="26"/>
        <v>2.0187052682554274E-3</v>
      </c>
    </row>
    <row r="189" spans="6:8" x14ac:dyDescent="0.3">
      <c r="F189" s="30">
        <f t="shared" si="24"/>
        <v>1.9819487419512209</v>
      </c>
      <c r="G189">
        <f t="shared" si="25"/>
        <v>0.97625751107916459</v>
      </c>
      <c r="H189">
        <f t="shared" si="26"/>
        <v>2.1257511079164626E-2</v>
      </c>
    </row>
    <row r="190" spans="6:8" x14ac:dyDescent="0.3">
      <c r="F190" s="30">
        <f t="shared" si="24"/>
        <v>2.147118858481059</v>
      </c>
      <c r="G190">
        <f t="shared" si="25"/>
        <v>0.98410808984377218</v>
      </c>
      <c r="H190">
        <f t="shared" si="26"/>
        <v>1.9108089843772214E-2</v>
      </c>
    </row>
    <row r="191" spans="6:8" x14ac:dyDescent="0.3">
      <c r="F191" s="30">
        <f t="shared" si="24"/>
        <v>2.1773329041877365</v>
      </c>
      <c r="G191">
        <f t="shared" si="25"/>
        <v>0.98527213108003642</v>
      </c>
      <c r="H191">
        <f t="shared" si="26"/>
        <v>1.027213108003644E-2</v>
      </c>
    </row>
    <row r="192" spans="6:8" x14ac:dyDescent="0.3">
      <c r="F192" s="30">
        <f t="shared" si="24"/>
        <v>2.2176182984633068</v>
      </c>
      <c r="G192">
        <f t="shared" si="25"/>
        <v>0.98670956541724486</v>
      </c>
      <c r="H192">
        <f t="shared" si="26"/>
        <v>1.7095654172448738E-3</v>
      </c>
    </row>
    <row r="193" spans="6:8" x14ac:dyDescent="0.3">
      <c r="F193" s="30">
        <f t="shared" si="24"/>
        <v>3.1401538273738643</v>
      </c>
      <c r="G193">
        <f t="shared" si="25"/>
        <v>0.99915570428594769</v>
      </c>
      <c r="H193">
        <f t="shared" si="26"/>
        <v>4.1557042859476923E-3</v>
      </c>
    </row>
  </sheetData>
  <sortState xmlns:xlrd2="http://schemas.microsoft.com/office/spreadsheetml/2017/richdata2" ref="C45:C145">
    <sortCondition ref="C45"/>
  </sortState>
  <mergeCells count="19">
    <mergeCell ref="H61:J61"/>
    <mergeCell ref="G77:I77"/>
    <mergeCell ref="G78:I78"/>
    <mergeCell ref="H92:I92"/>
    <mergeCell ref="J98:L99"/>
    <mergeCell ref="G80:L80"/>
    <mergeCell ref="H82:J82"/>
    <mergeCell ref="G87:I87"/>
    <mergeCell ref="G88:I88"/>
    <mergeCell ref="G90:L90"/>
    <mergeCell ref="G56:J56"/>
    <mergeCell ref="G57:J57"/>
    <mergeCell ref="G59:L59"/>
    <mergeCell ref="H54:K54"/>
    <mergeCell ref="O14:S14"/>
    <mergeCell ref="H49:J49"/>
    <mergeCell ref="G50:J50"/>
    <mergeCell ref="G52:L52"/>
    <mergeCell ref="I47:K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Andreev</dc:creator>
  <cp:lastModifiedBy>Lion120454#2</cp:lastModifiedBy>
  <dcterms:created xsi:type="dcterms:W3CDTF">2015-06-05T18:19:34Z</dcterms:created>
  <dcterms:modified xsi:type="dcterms:W3CDTF">2025-10-23T12:26:45Z</dcterms:modified>
</cp:coreProperties>
</file>