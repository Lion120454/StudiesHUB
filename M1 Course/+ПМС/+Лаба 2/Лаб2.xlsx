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ashka\ПМС\+Лаба 2\"/>
    </mc:Choice>
  </mc:AlternateContent>
  <xr:revisionPtr revIDLastSave="0" documentId="13_ncr:1_{A7E380D4-13C1-424A-9F52-D2BDF9AE48CE}" xr6:coauthVersionLast="45" xr6:coauthVersionMax="45" xr10:uidLastSave="{00000000-0000-0000-0000-000000000000}"/>
  <bookViews>
    <workbookView xWindow="-108" yWindow="-108" windowWidth="23256" windowHeight="12576" xr2:uid="{F9872D0B-9E84-4FA3-AA5A-2A4DDF61A012}"/>
  </bookViews>
  <sheets>
    <sheet name="Показ" sheetId="1" r:id="rId1"/>
    <sheet name="Бином" sheetId="2" r:id="rId2"/>
    <sheet name="Норм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" i="2" l="1"/>
  <c r="K2" i="2"/>
  <c r="Q13" i="2" s="1"/>
  <c r="R13" i="2"/>
  <c r="C19" i="3"/>
  <c r="C20" i="3"/>
  <c r="C21" i="3"/>
  <c r="C22" i="3"/>
  <c r="C23" i="3"/>
  <c r="C24" i="3"/>
  <c r="C25" i="3"/>
  <c r="C26" i="3"/>
  <c r="C18" i="3"/>
  <c r="S6" i="3"/>
  <c r="R4" i="3"/>
  <c r="T8" i="3" s="1"/>
  <c r="T7" i="3"/>
  <c r="T6" i="3"/>
  <c r="S7" i="3"/>
  <c r="S8" i="3"/>
  <c r="S4" i="3"/>
  <c r="S3" i="3"/>
  <c r="R3" i="3"/>
  <c r="S2" i="3"/>
  <c r="R2" i="3"/>
  <c r="Q2" i="3"/>
  <c r="Q4" i="3"/>
  <c r="Q3" i="3"/>
  <c r="P3" i="1"/>
  <c r="P2" i="1"/>
  <c r="M2" i="3"/>
  <c r="L2" i="3"/>
  <c r="C18" i="2"/>
  <c r="C19" i="2"/>
  <c r="C20" i="2"/>
  <c r="C21" i="2"/>
  <c r="C22" i="2"/>
  <c r="C23" i="2"/>
  <c r="C24" i="2"/>
  <c r="C25" i="2"/>
  <c r="C17" i="2"/>
  <c r="R11" i="2"/>
  <c r="Q12" i="2"/>
  <c r="R9" i="2"/>
  <c r="R8" i="2"/>
  <c r="R7" i="2"/>
  <c r="Q9" i="2"/>
  <c r="Q8" i="2"/>
  <c r="Q7" i="2"/>
  <c r="L4" i="2"/>
  <c r="Q4" i="2"/>
  <c r="Q3" i="2"/>
  <c r="Q2" i="2"/>
  <c r="Q2" i="1"/>
  <c r="L2" i="2"/>
  <c r="Q11" i="2" l="1"/>
  <c r="R12" i="2"/>
  <c r="Q6" i="3"/>
  <c r="R6" i="3"/>
  <c r="R8" i="3"/>
  <c r="Q7" i="3"/>
  <c r="R7" i="3"/>
  <c r="N2" i="3"/>
  <c r="Q8" i="3" s="1"/>
  <c r="N2" i="2" l="1"/>
  <c r="F19" i="1"/>
  <c r="F20" i="1"/>
  <c r="F21" i="1"/>
  <c r="F22" i="1"/>
  <c r="F23" i="1"/>
  <c r="F24" i="1"/>
  <c r="F25" i="1"/>
  <c r="F26" i="1"/>
  <c r="F18" i="1"/>
  <c r="C20" i="1"/>
  <c r="C21" i="1"/>
  <c r="C22" i="1"/>
  <c r="C23" i="1"/>
  <c r="C24" i="1"/>
  <c r="C25" i="1"/>
  <c r="C26" i="1"/>
  <c r="C19" i="1"/>
  <c r="C18" i="1"/>
  <c r="L2" i="1" l="1"/>
  <c r="M2" i="1" s="1"/>
  <c r="Q4" i="1"/>
  <c r="Q3" i="1"/>
  <c r="Q7" i="1"/>
  <c r="P4" i="1"/>
  <c r="P7" i="1" l="1"/>
  <c r="Q8" i="1"/>
  <c r="P8" i="1"/>
  <c r="Q9" i="1"/>
  <c r="P9" i="1"/>
</calcChain>
</file>

<file path=xl/sharedStrings.xml><?xml version="1.0" encoding="utf-8"?>
<sst xmlns="http://schemas.openxmlformats.org/spreadsheetml/2006/main" count="67" uniqueCount="35">
  <si>
    <t>Среднее значение</t>
  </si>
  <si>
    <t>Точечная оценка параметра лямда</t>
  </si>
  <si>
    <t>Нижняя граница</t>
  </si>
  <si>
    <t>Верхняя граница</t>
  </si>
  <si>
    <t>а = 0,9</t>
  </si>
  <si>
    <t>а = 0,95</t>
  </si>
  <si>
    <t>а = 0,99</t>
  </si>
  <si>
    <t>Квантили</t>
  </si>
  <si>
    <t>Интервальные оценки для доверительной вероятности</t>
  </si>
  <si>
    <t>δ</t>
  </si>
  <si>
    <t>α</t>
  </si>
  <si>
    <t>r</t>
  </si>
  <si>
    <t>n</t>
  </si>
  <si>
    <t>b(r ,a )</t>
  </si>
  <si>
    <t>a(r ,a )</t>
  </si>
  <si>
    <t>Дисперсия</t>
  </si>
  <si>
    <t>Оценка n</t>
  </si>
  <si>
    <t>Оценка p</t>
  </si>
  <si>
    <t>n=20</t>
  </si>
  <si>
    <t>p=0,4</t>
  </si>
  <si>
    <t>Корень</t>
  </si>
  <si>
    <t>Нижняя граница p</t>
  </si>
  <si>
    <t>Верхняя граница p</t>
  </si>
  <si>
    <t>p0</t>
  </si>
  <si>
    <t>µ=</t>
  </si>
  <si>
    <t>σ=</t>
  </si>
  <si>
    <t>Точечная оценка параметра µ</t>
  </si>
  <si>
    <t>Точечная оценка параметра σ</t>
  </si>
  <si>
    <t>хи2 квантиль нижний</t>
  </si>
  <si>
    <t>Нижняя граница µ</t>
  </si>
  <si>
    <t>Верхняя граница μ</t>
  </si>
  <si>
    <t>Нижняя граница σ</t>
  </si>
  <si>
    <t>Верхняя граница σ</t>
  </si>
  <si>
    <t>хи2 квантиль верхний</t>
  </si>
  <si>
    <t>t/n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</si>
</sst>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sz val="12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3" fillId="0" borderId="1" xfId="0" applyFon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5" borderId="1" xfId="0" applyFill="1" applyBorder="1"/>
    <xf numFmtId="0" fontId="3" fillId="6" borderId="1" xfId="0" applyFont="1" applyFill="1" applyBorder="1"/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6" borderId="0" xfId="0" applyFill="1"/>
    <xf numFmtId="0" fontId="3" fillId="6" borderId="1" xfId="0" applyFont="1" applyFill="1" applyBorder="1" applyAlignment="1">
      <alignment horizontal="center"/>
    </xf>
    <xf numFmtId="164" fontId="0" fillId="2" borderId="1" xfId="0" applyNumberFormat="1" applyFill="1" applyBorder="1"/>
    <xf numFmtId="1" fontId="0" fillId="2" borderId="1" xfId="0" applyNumberFormat="1" applyFill="1" applyBorder="1"/>
    <xf numFmtId="1" fontId="0" fillId="6" borderId="1" xfId="0" applyNumberForma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1" fontId="0" fillId="4" borderId="1" xfId="0" applyNumberFormat="1" applyFill="1" applyBorder="1"/>
    <xf numFmtId="1" fontId="0" fillId="7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125E-79CB-4F96-8407-615C615F0048}">
  <dimension ref="A1:Q26"/>
  <sheetViews>
    <sheetView tabSelected="1" zoomScale="85" zoomScaleNormal="85" workbookViewId="0">
      <selection activeCell="O1" sqref="O1"/>
    </sheetView>
  </sheetViews>
  <sheetFormatPr defaultRowHeight="14.4" x14ac:dyDescent="0.3"/>
  <cols>
    <col min="12" max="12" width="18.44140625" bestFit="1" customWidth="1"/>
    <col min="13" max="13" width="16.33203125" customWidth="1"/>
    <col min="15" max="15" width="16.44140625" customWidth="1"/>
    <col min="16" max="16" width="15.33203125" bestFit="1" customWidth="1"/>
    <col min="17" max="17" width="15.6640625" bestFit="1" customWidth="1"/>
  </cols>
  <sheetData>
    <row r="1" spans="1:17" ht="59.4" customHeight="1" x14ac:dyDescent="0.3">
      <c r="L1" s="13" t="s">
        <v>0</v>
      </c>
      <c r="M1" s="14" t="s">
        <v>1</v>
      </c>
      <c r="O1" s="11" t="s">
        <v>7</v>
      </c>
      <c r="P1" s="10" t="s">
        <v>2</v>
      </c>
      <c r="Q1" s="10" t="s">
        <v>3</v>
      </c>
    </row>
    <row r="2" spans="1:17" x14ac:dyDescent="0.3">
      <c r="L2" s="5">
        <f>AVERAGE(A4:J13)</f>
        <v>20.653000000000006</v>
      </c>
      <c r="M2" s="5">
        <f>1/L2</f>
        <v>4.8419115866944258E-2</v>
      </c>
      <c r="O2" s="8" t="s">
        <v>4</v>
      </c>
      <c r="P2" s="7">
        <f>_xlfn.CHISQ.INV(0.05,200)</f>
        <v>168.27855443662838</v>
      </c>
      <c r="Q2" s="7">
        <f>_xlfn.CHISQ.INV(0.95,200)</f>
        <v>233.99426889232492</v>
      </c>
    </row>
    <row r="3" spans="1:17" x14ac:dyDescent="0.3">
      <c r="O3" s="8" t="s">
        <v>5</v>
      </c>
      <c r="P3" s="7">
        <f>_xlfn.CHISQ.INV(0.025,200)</f>
        <v>162.72798250184627</v>
      </c>
      <c r="Q3" s="7">
        <f>_xlfn.CHISQ.INV(0.975,200)</f>
        <v>241.0578955063109</v>
      </c>
    </row>
    <row r="4" spans="1:17" ht="15.6" x14ac:dyDescent="0.3">
      <c r="A4" s="2">
        <v>2.5</v>
      </c>
      <c r="B4" s="2">
        <v>80.599999999999994</v>
      </c>
      <c r="C4" s="2">
        <v>2.2000000000000002</v>
      </c>
      <c r="D4" s="2">
        <v>19.600000000000001</v>
      </c>
      <c r="E4" s="2">
        <v>27.4</v>
      </c>
      <c r="F4" s="2">
        <v>34.1</v>
      </c>
      <c r="G4" s="2">
        <v>8.8000000000000007</v>
      </c>
      <c r="H4" s="2">
        <v>30.5</v>
      </c>
      <c r="I4" s="2">
        <v>57.7</v>
      </c>
      <c r="J4" s="2">
        <v>57.2</v>
      </c>
      <c r="O4" s="8" t="s">
        <v>6</v>
      </c>
      <c r="P4" s="7">
        <f>_xlfn.CHISQ.INV(0.005,200)</f>
        <v>152.24099168737837</v>
      </c>
      <c r="Q4" s="7">
        <f>_xlfn.CHISQ.INV(0.995,200)</f>
        <v>255.26415545152315</v>
      </c>
    </row>
    <row r="5" spans="1:17" ht="15.6" x14ac:dyDescent="0.3">
      <c r="A5" s="3">
        <v>18.3</v>
      </c>
      <c r="B5" s="3">
        <v>40.700000000000003</v>
      </c>
      <c r="C5" s="3">
        <v>6</v>
      </c>
      <c r="D5" s="3">
        <v>5</v>
      </c>
      <c r="E5" s="3">
        <v>4.5</v>
      </c>
      <c r="F5" s="3">
        <v>9.1999999999999993</v>
      </c>
      <c r="G5" s="3">
        <v>56.3</v>
      </c>
      <c r="H5" s="3">
        <v>7.9</v>
      </c>
      <c r="I5" s="3">
        <v>11.1</v>
      </c>
      <c r="J5" s="3">
        <v>4.3</v>
      </c>
    </row>
    <row r="6" spans="1:17" ht="57.6" x14ac:dyDescent="0.3">
      <c r="A6" s="3">
        <v>22.7</v>
      </c>
      <c r="B6" s="3">
        <v>8.6999999999999993</v>
      </c>
      <c r="C6" s="3">
        <v>52</v>
      </c>
      <c r="D6" s="3">
        <v>0.4</v>
      </c>
      <c r="E6" s="3">
        <v>0.4</v>
      </c>
      <c r="F6" s="3">
        <v>14</v>
      </c>
      <c r="G6" s="3">
        <v>2.1</v>
      </c>
      <c r="H6" s="3">
        <v>3</v>
      </c>
      <c r="I6" s="3">
        <v>2.5</v>
      </c>
      <c r="J6" s="3">
        <v>22.6</v>
      </c>
      <c r="O6" s="9" t="s">
        <v>8</v>
      </c>
      <c r="P6" s="11" t="s">
        <v>2</v>
      </c>
      <c r="Q6" s="11" t="s">
        <v>3</v>
      </c>
    </row>
    <row r="7" spans="1:17" ht="15.6" x14ac:dyDescent="0.3">
      <c r="A7" s="2">
        <v>24.2</v>
      </c>
      <c r="B7" s="2">
        <v>13.5</v>
      </c>
      <c r="C7" s="2">
        <v>1.7</v>
      </c>
      <c r="D7" s="2">
        <v>6.7</v>
      </c>
      <c r="E7" s="2">
        <v>25.4</v>
      </c>
      <c r="F7" s="2">
        <v>43.3</v>
      </c>
      <c r="G7" s="2">
        <v>20</v>
      </c>
      <c r="H7" s="2">
        <v>4.3</v>
      </c>
      <c r="I7" s="2">
        <v>79.099999999999994</v>
      </c>
      <c r="J7" s="2">
        <v>1.7</v>
      </c>
      <c r="O7" s="8" t="s">
        <v>4</v>
      </c>
      <c r="P7" s="6">
        <f>P2/(2*100*L2)</f>
        <v>4.0739494125944978E-2</v>
      </c>
      <c r="Q7" s="6">
        <f>Q2/(2*100*L2)</f>
        <v>5.6648978088491952E-2</v>
      </c>
    </row>
    <row r="8" spans="1:17" ht="15.6" x14ac:dyDescent="0.3">
      <c r="A8" s="3">
        <v>6.4</v>
      </c>
      <c r="B8" s="3">
        <v>1.5</v>
      </c>
      <c r="C8" s="3">
        <v>11.9</v>
      </c>
      <c r="D8" s="3">
        <v>29.1</v>
      </c>
      <c r="E8" s="3">
        <v>24.2</v>
      </c>
      <c r="F8" s="3">
        <v>0.8</v>
      </c>
      <c r="G8" s="3">
        <v>22.7</v>
      </c>
      <c r="H8" s="3">
        <v>1.5</v>
      </c>
      <c r="I8" s="3">
        <v>22.2</v>
      </c>
      <c r="J8" s="3">
        <v>50</v>
      </c>
      <c r="O8" s="8" t="s">
        <v>5</v>
      </c>
      <c r="P8" s="6">
        <f>P3/(2*100*L2)</f>
        <v>3.9395725197754861E-2</v>
      </c>
      <c r="Q8" s="6">
        <f>Q3/(2*100*L2)</f>
        <v>5.8359050865809038E-2</v>
      </c>
    </row>
    <row r="9" spans="1:17" ht="15.6" x14ac:dyDescent="0.3">
      <c r="A9" s="3">
        <v>10.4</v>
      </c>
      <c r="B9" s="3">
        <v>21.6</v>
      </c>
      <c r="C9" s="3">
        <v>1.1000000000000001</v>
      </c>
      <c r="D9" s="3">
        <v>69.7</v>
      </c>
      <c r="E9" s="3">
        <v>26.2</v>
      </c>
      <c r="F9" s="3">
        <v>1.2</v>
      </c>
      <c r="G9" s="3">
        <v>6.3</v>
      </c>
      <c r="H9" s="3">
        <v>11.3</v>
      </c>
      <c r="I9" s="3">
        <v>43.7</v>
      </c>
      <c r="J9" s="3">
        <v>5.7</v>
      </c>
      <c r="O9" s="8" t="s">
        <v>6</v>
      </c>
      <c r="P9" s="6">
        <f>P4/(2*100*L2)</f>
        <v>3.6856871081048355E-2</v>
      </c>
      <c r="Q9" s="6">
        <f>Q4/(2*100*L2)</f>
        <v>6.1798323597424848E-2</v>
      </c>
    </row>
    <row r="10" spans="1:17" ht="15.6" x14ac:dyDescent="0.3">
      <c r="A10" s="3">
        <v>41.5</v>
      </c>
      <c r="B10" s="3">
        <v>24.9</v>
      </c>
      <c r="C10" s="3">
        <v>0.5</v>
      </c>
      <c r="D10" s="3">
        <v>3.4</v>
      </c>
      <c r="E10" s="3">
        <v>10.9</v>
      </c>
      <c r="F10" s="3">
        <v>17.3</v>
      </c>
      <c r="G10" s="3">
        <v>0.3</v>
      </c>
      <c r="H10" s="3">
        <v>3.1</v>
      </c>
      <c r="I10" s="3">
        <v>10.9</v>
      </c>
      <c r="J10" s="3">
        <v>4.4000000000000004</v>
      </c>
    </row>
    <row r="11" spans="1:17" ht="15.6" x14ac:dyDescent="0.3">
      <c r="A11" s="3">
        <v>25.2</v>
      </c>
      <c r="B11" s="3">
        <v>1</v>
      </c>
      <c r="C11" s="3">
        <v>17.100000000000001</v>
      </c>
      <c r="D11" s="3">
        <v>8.5</v>
      </c>
      <c r="E11" s="3">
        <v>24.6</v>
      </c>
      <c r="F11" s="3">
        <v>49.7</v>
      </c>
      <c r="G11" s="3">
        <v>66.2</v>
      </c>
      <c r="H11" s="3">
        <v>22.2</v>
      </c>
      <c r="I11" s="3">
        <v>46.7</v>
      </c>
      <c r="J11" s="3">
        <v>72.400000000000006</v>
      </c>
    </row>
    <row r="12" spans="1:17" ht="15.6" x14ac:dyDescent="0.3">
      <c r="A12" s="3">
        <v>12.8</v>
      </c>
      <c r="B12" s="3">
        <v>6.9</v>
      </c>
      <c r="C12" s="3">
        <v>1.5</v>
      </c>
      <c r="D12" s="3">
        <v>76.099999999999994</v>
      </c>
      <c r="E12" s="3">
        <v>2.9</v>
      </c>
      <c r="F12" s="3">
        <v>21.5</v>
      </c>
      <c r="G12" s="3">
        <v>23.4</v>
      </c>
      <c r="H12" s="3">
        <v>14.5</v>
      </c>
      <c r="I12" s="3">
        <v>20.2</v>
      </c>
      <c r="J12" s="3">
        <v>58</v>
      </c>
    </row>
    <row r="13" spans="1:17" ht="15.6" x14ac:dyDescent="0.3">
      <c r="A13" s="2">
        <v>2.8</v>
      </c>
      <c r="B13" s="2">
        <v>8.1</v>
      </c>
      <c r="C13" s="2">
        <v>21</v>
      </c>
      <c r="D13" s="2">
        <v>37</v>
      </c>
      <c r="E13" s="2">
        <v>19.399999999999999</v>
      </c>
      <c r="F13" s="2">
        <v>7.7</v>
      </c>
      <c r="G13" s="2">
        <v>7</v>
      </c>
      <c r="H13" s="2">
        <v>2.6</v>
      </c>
      <c r="I13" s="2">
        <v>66.400000000000006</v>
      </c>
      <c r="J13" s="2">
        <v>5</v>
      </c>
    </row>
    <row r="17" spans="1:6" x14ac:dyDescent="0.3">
      <c r="A17" s="17" t="s">
        <v>10</v>
      </c>
      <c r="B17" s="17" t="s">
        <v>9</v>
      </c>
      <c r="C17" s="17" t="s">
        <v>13</v>
      </c>
      <c r="D17" s="18" t="s">
        <v>11</v>
      </c>
      <c r="E17" s="22" t="s">
        <v>14</v>
      </c>
      <c r="F17" s="21" t="s">
        <v>12</v>
      </c>
    </row>
    <row r="18" spans="1:6" x14ac:dyDescent="0.3">
      <c r="A18" s="4">
        <v>0.9</v>
      </c>
      <c r="B18" s="4">
        <v>0.1</v>
      </c>
      <c r="C18" s="20">
        <f>1/(1+B18)</f>
        <v>0.90909090909090906</v>
      </c>
      <c r="D18" s="16">
        <v>200</v>
      </c>
      <c r="E18" s="23">
        <v>0.92</v>
      </c>
      <c r="F18" s="41">
        <f>D18/(0.01*100*E18)</f>
        <v>217.39130434782606</v>
      </c>
    </row>
    <row r="19" spans="1:6" x14ac:dyDescent="0.3">
      <c r="A19" s="4">
        <v>0.9</v>
      </c>
      <c r="B19" s="4">
        <v>0.2</v>
      </c>
      <c r="C19" s="20">
        <f>1/(1+B19)</f>
        <v>0.83333333333333337</v>
      </c>
      <c r="D19" s="16">
        <v>50</v>
      </c>
      <c r="E19" s="23">
        <v>0.84</v>
      </c>
      <c r="F19" s="41">
        <f t="shared" ref="F19:F26" si="0">D19/(0.01*100*E19)</f>
        <v>59.523809523809526</v>
      </c>
    </row>
    <row r="20" spans="1:6" x14ac:dyDescent="0.3">
      <c r="A20" s="4">
        <v>0.9</v>
      </c>
      <c r="B20" s="4">
        <v>0.4</v>
      </c>
      <c r="C20" s="20">
        <f t="shared" ref="C20:C26" si="1">1/(1+B20)</f>
        <v>0.7142857142857143</v>
      </c>
      <c r="D20" s="16">
        <v>15</v>
      </c>
      <c r="E20" s="23">
        <v>0.74</v>
      </c>
      <c r="F20" s="41">
        <f t="shared" si="0"/>
        <v>20.27027027027027</v>
      </c>
    </row>
    <row r="21" spans="1:6" x14ac:dyDescent="0.3">
      <c r="A21" s="4">
        <v>0.95</v>
      </c>
      <c r="B21" s="4">
        <v>0.1</v>
      </c>
      <c r="C21" s="20">
        <f t="shared" si="1"/>
        <v>0.90909090909090906</v>
      </c>
      <c r="D21" s="16">
        <v>300</v>
      </c>
      <c r="E21" s="23">
        <v>0.91</v>
      </c>
      <c r="F21" s="41">
        <f t="shared" si="0"/>
        <v>329.67032967032964</v>
      </c>
    </row>
    <row r="22" spans="1:6" x14ac:dyDescent="0.3">
      <c r="A22" s="4">
        <v>0.95</v>
      </c>
      <c r="B22" s="4">
        <v>0.2</v>
      </c>
      <c r="C22" s="20">
        <f t="shared" si="1"/>
        <v>0.83333333333333337</v>
      </c>
      <c r="D22" s="16">
        <v>80</v>
      </c>
      <c r="E22" s="23">
        <v>0.84</v>
      </c>
      <c r="F22" s="41">
        <f t="shared" si="0"/>
        <v>95.238095238095241</v>
      </c>
    </row>
    <row r="23" spans="1:6" x14ac:dyDescent="0.3">
      <c r="A23" s="4">
        <v>0.95</v>
      </c>
      <c r="B23" s="4">
        <v>0.4</v>
      </c>
      <c r="C23" s="20">
        <f t="shared" si="1"/>
        <v>0.7142857142857143</v>
      </c>
      <c r="D23" s="16">
        <v>25</v>
      </c>
      <c r="E23" s="23">
        <v>0.74</v>
      </c>
      <c r="F23" s="41">
        <f t="shared" si="0"/>
        <v>33.783783783783782</v>
      </c>
    </row>
    <row r="24" spans="1:6" x14ac:dyDescent="0.3">
      <c r="A24" s="4">
        <v>0.99</v>
      </c>
      <c r="B24" s="4">
        <v>0.1</v>
      </c>
      <c r="C24" s="20">
        <f t="shared" si="1"/>
        <v>0.90909090909090906</v>
      </c>
      <c r="D24" s="16">
        <v>600</v>
      </c>
      <c r="E24" s="23">
        <v>0.91</v>
      </c>
      <c r="F24" s="41">
        <f t="shared" si="0"/>
        <v>659.34065934065927</v>
      </c>
    </row>
    <row r="25" spans="1:6" x14ac:dyDescent="0.3">
      <c r="A25" s="4">
        <v>0.99</v>
      </c>
      <c r="B25" s="4">
        <v>0.2</v>
      </c>
      <c r="C25" s="20">
        <f t="shared" si="1"/>
        <v>0.83333333333333337</v>
      </c>
      <c r="D25" s="16">
        <v>150</v>
      </c>
      <c r="E25" s="23">
        <v>0.84</v>
      </c>
      <c r="F25" s="41">
        <f t="shared" si="0"/>
        <v>178.57142857142858</v>
      </c>
    </row>
    <row r="26" spans="1:6" x14ac:dyDescent="0.3">
      <c r="A26" s="4">
        <v>0.99</v>
      </c>
      <c r="B26" s="4">
        <v>0.4</v>
      </c>
      <c r="C26" s="20">
        <f t="shared" si="1"/>
        <v>0.7142857142857143</v>
      </c>
      <c r="D26" s="16">
        <v>40</v>
      </c>
      <c r="E26" s="23">
        <v>0.71</v>
      </c>
      <c r="F26" s="41">
        <f t="shared" si="0"/>
        <v>56.338028169014088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3B8D-6B0C-4A8C-A164-EAE12639E74C}">
  <dimension ref="A1:R25"/>
  <sheetViews>
    <sheetView zoomScaleNormal="100" workbookViewId="0">
      <selection activeCell="L17" sqref="L17"/>
    </sheetView>
  </sheetViews>
  <sheetFormatPr defaultRowHeight="14.4" x14ac:dyDescent="0.3"/>
  <cols>
    <col min="11" max="11" width="10.88671875" bestFit="1" customWidth="1"/>
    <col min="12" max="12" width="17.33203125" bestFit="1" customWidth="1"/>
    <col min="13" max="13" width="13.109375" bestFit="1" customWidth="1"/>
    <col min="14" max="14" width="11.44140625" customWidth="1"/>
    <col min="15" max="15" width="15.109375" customWidth="1"/>
    <col min="16" max="16" width="15.5546875" bestFit="1" customWidth="1"/>
    <col min="17" max="17" width="17.6640625" bestFit="1" customWidth="1"/>
    <col min="18" max="18" width="18.109375" bestFit="1" customWidth="1"/>
  </cols>
  <sheetData>
    <row r="1" spans="1:18" x14ac:dyDescent="0.3">
      <c r="C1" s="17" t="s">
        <v>18</v>
      </c>
      <c r="D1" s="17" t="s">
        <v>19</v>
      </c>
      <c r="K1" s="13" t="s">
        <v>15</v>
      </c>
      <c r="L1" s="13" t="s">
        <v>0</v>
      </c>
      <c r="M1" s="14" t="s">
        <v>17</v>
      </c>
      <c r="N1" s="14" t="s">
        <v>16</v>
      </c>
      <c r="P1" s="31"/>
      <c r="Q1" s="32" t="s">
        <v>7</v>
      </c>
    </row>
    <row r="2" spans="1:18" x14ac:dyDescent="0.3">
      <c r="K2" s="5">
        <f>VAR(A4:J13)</f>
        <v>5.1001010101010085</v>
      </c>
      <c r="L2" s="5">
        <f>AVERAGE(A4:J13)</f>
        <v>7.97</v>
      </c>
      <c r="M2" s="5">
        <f>1-(K2/L2)</f>
        <v>0.36008770262220724</v>
      </c>
      <c r="N2" s="34">
        <f>K2/M2</f>
        <v>14.163496761931565</v>
      </c>
      <c r="P2" s="24" t="s">
        <v>4</v>
      </c>
      <c r="Q2" s="25">
        <f>_xlfn.NORM.S.INV( (1+0.9)/2 )</f>
        <v>1.6448536269514715</v>
      </c>
    </row>
    <row r="3" spans="1:18" x14ac:dyDescent="0.3">
      <c r="L3" s="30" t="s">
        <v>20</v>
      </c>
      <c r="P3" s="24" t="s">
        <v>5</v>
      </c>
      <c r="Q3" s="25">
        <f>_xlfn.NORM.S.INV( (1+0.95)/2 )</f>
        <v>1.9599639845400536</v>
      </c>
    </row>
    <row r="4" spans="1:18" x14ac:dyDescent="0.3">
      <c r="A4" s="4">
        <v>9</v>
      </c>
      <c r="B4" s="4">
        <v>9</v>
      </c>
      <c r="C4" s="4">
        <v>6</v>
      </c>
      <c r="D4" s="4">
        <v>6</v>
      </c>
      <c r="E4" s="4">
        <v>9</v>
      </c>
      <c r="F4" s="4">
        <v>9</v>
      </c>
      <c r="G4" s="4">
        <v>6</v>
      </c>
      <c r="H4" s="4">
        <v>9</v>
      </c>
      <c r="I4" s="4">
        <v>8</v>
      </c>
      <c r="J4" s="4">
        <v>4</v>
      </c>
      <c r="L4" s="33">
        <f>SQRT(0.4*(1-0.4)/20)</f>
        <v>0.10954451150103323</v>
      </c>
      <c r="P4" s="24" t="s">
        <v>6</v>
      </c>
      <c r="Q4" s="25">
        <f>_xlfn.NORM.S.INV( (1+0.99)/2 )</f>
        <v>2.5758293035488999</v>
      </c>
    </row>
    <row r="5" spans="1:18" x14ac:dyDescent="0.3">
      <c r="A5" s="4">
        <v>7</v>
      </c>
      <c r="B5" s="4">
        <v>4</v>
      </c>
      <c r="C5" s="4">
        <v>10</v>
      </c>
      <c r="D5" s="4">
        <v>9</v>
      </c>
      <c r="E5" s="4">
        <v>8</v>
      </c>
      <c r="F5" s="4">
        <v>8</v>
      </c>
      <c r="G5" s="4">
        <v>11</v>
      </c>
      <c r="H5" s="4">
        <v>5</v>
      </c>
      <c r="I5" s="4">
        <v>9</v>
      </c>
      <c r="J5" s="4">
        <v>6</v>
      </c>
    </row>
    <row r="6" spans="1:18" ht="58.2" customHeight="1" x14ac:dyDescent="0.3">
      <c r="A6" s="4">
        <v>9</v>
      </c>
      <c r="B6" s="4">
        <v>4</v>
      </c>
      <c r="C6" s="4">
        <v>10</v>
      </c>
      <c r="D6" s="4">
        <v>6</v>
      </c>
      <c r="E6" s="4">
        <v>9</v>
      </c>
      <c r="F6" s="4">
        <v>5</v>
      </c>
      <c r="G6" s="4">
        <v>9</v>
      </c>
      <c r="H6" s="4">
        <v>7</v>
      </c>
      <c r="I6" s="4">
        <v>7</v>
      </c>
      <c r="J6" s="4">
        <v>10</v>
      </c>
      <c r="P6" s="26" t="s">
        <v>8</v>
      </c>
      <c r="Q6" s="27" t="s">
        <v>21</v>
      </c>
      <c r="R6" s="27" t="s">
        <v>22</v>
      </c>
    </row>
    <row r="7" spans="1:18" x14ac:dyDescent="0.3">
      <c r="A7" s="4">
        <v>4</v>
      </c>
      <c r="B7" s="4">
        <v>10</v>
      </c>
      <c r="C7" s="4">
        <v>8</v>
      </c>
      <c r="D7" s="4">
        <v>6</v>
      </c>
      <c r="E7" s="4">
        <v>11</v>
      </c>
      <c r="F7" s="4">
        <v>6</v>
      </c>
      <c r="G7" s="4">
        <v>12</v>
      </c>
      <c r="H7" s="4">
        <v>11</v>
      </c>
      <c r="I7" s="4">
        <v>8</v>
      </c>
      <c r="J7" s="4">
        <v>10</v>
      </c>
      <c r="P7" s="24" t="s">
        <v>4</v>
      </c>
      <c r="Q7" s="25">
        <f>0.4 - Q2*L4</f>
        <v>0.21981531294489834</v>
      </c>
      <c r="R7" s="25">
        <f>0.4 + Q2*L4</f>
        <v>0.58018468705510173</v>
      </c>
    </row>
    <row r="8" spans="1:18" x14ac:dyDescent="0.3">
      <c r="A8" s="4">
        <v>6</v>
      </c>
      <c r="B8" s="4">
        <v>12</v>
      </c>
      <c r="C8" s="4">
        <v>8</v>
      </c>
      <c r="D8" s="4">
        <v>6</v>
      </c>
      <c r="E8" s="4">
        <v>7</v>
      </c>
      <c r="F8" s="4">
        <v>8</v>
      </c>
      <c r="G8" s="4">
        <v>8</v>
      </c>
      <c r="H8" s="4">
        <v>9</v>
      </c>
      <c r="I8" s="4">
        <v>3</v>
      </c>
      <c r="J8" s="4">
        <v>9</v>
      </c>
      <c r="P8" s="24" t="s">
        <v>5</v>
      </c>
      <c r="Q8" s="25">
        <f>0.4 - Q3*L4</f>
        <v>0.18529670275394122</v>
      </c>
      <c r="R8" s="25">
        <f>0.4 + Q3*L4</f>
        <v>0.61470329724605888</v>
      </c>
    </row>
    <row r="9" spans="1:18" x14ac:dyDescent="0.3">
      <c r="A9" s="4">
        <v>8</v>
      </c>
      <c r="B9" s="4">
        <v>9</v>
      </c>
      <c r="C9" s="4">
        <v>8</v>
      </c>
      <c r="D9" s="4">
        <v>7</v>
      </c>
      <c r="E9" s="4">
        <v>10</v>
      </c>
      <c r="F9" s="4">
        <v>6</v>
      </c>
      <c r="G9" s="4">
        <v>11</v>
      </c>
      <c r="H9" s="4">
        <v>7</v>
      </c>
      <c r="I9" s="4">
        <v>9</v>
      </c>
      <c r="J9" s="4">
        <v>6</v>
      </c>
      <c r="P9" s="24" t="s">
        <v>6</v>
      </c>
      <c r="Q9" s="25">
        <f>0.4 - Q4*L4</f>
        <v>0.11783203723268915</v>
      </c>
      <c r="R9" s="25">
        <f>0.4 + Q4*L4</f>
        <v>0.68216796276731095</v>
      </c>
    </row>
    <row r="10" spans="1:18" x14ac:dyDescent="0.3">
      <c r="A10" s="4">
        <v>10</v>
      </c>
      <c r="B10" s="4">
        <v>12</v>
      </c>
      <c r="C10" s="4">
        <v>6</v>
      </c>
      <c r="D10" s="4">
        <v>6</v>
      </c>
      <c r="E10" s="4">
        <v>9</v>
      </c>
      <c r="F10" s="4">
        <v>5</v>
      </c>
      <c r="G10" s="4">
        <v>8</v>
      </c>
      <c r="H10" s="4">
        <v>10</v>
      </c>
      <c r="I10" s="4">
        <v>7</v>
      </c>
      <c r="J10" s="4">
        <v>5</v>
      </c>
      <c r="P10" s="28"/>
      <c r="Q10" s="27" t="s">
        <v>21</v>
      </c>
      <c r="R10" s="27" t="s">
        <v>22</v>
      </c>
    </row>
    <row r="11" spans="1:18" x14ac:dyDescent="0.3">
      <c r="A11" s="4">
        <v>8</v>
      </c>
      <c r="B11" s="4">
        <v>6</v>
      </c>
      <c r="C11" s="4">
        <v>11</v>
      </c>
      <c r="D11" s="4">
        <v>6</v>
      </c>
      <c r="E11" s="4">
        <v>8</v>
      </c>
      <c r="F11" s="4">
        <v>6</v>
      </c>
      <c r="G11" s="4">
        <v>9</v>
      </c>
      <c r="H11" s="4">
        <v>9</v>
      </c>
      <c r="I11" s="4">
        <v>8</v>
      </c>
      <c r="J11" s="4">
        <v>7</v>
      </c>
      <c r="P11" s="24" t="s">
        <v>4</v>
      </c>
      <c r="Q11" s="35">
        <f>$K$2/R7</f>
        <v>8.7904784870970545</v>
      </c>
      <c r="R11" s="35">
        <f>$K$2/Q7</f>
        <v>23.201754881287382</v>
      </c>
    </row>
    <row r="12" spans="1:18" x14ac:dyDescent="0.3">
      <c r="A12" s="4">
        <v>8</v>
      </c>
      <c r="B12" s="4">
        <v>11</v>
      </c>
      <c r="C12" s="4">
        <v>7</v>
      </c>
      <c r="D12" s="4">
        <v>16</v>
      </c>
      <c r="E12" s="4">
        <v>7</v>
      </c>
      <c r="F12" s="4">
        <v>10</v>
      </c>
      <c r="G12" s="4">
        <v>7</v>
      </c>
      <c r="H12" s="4">
        <v>6</v>
      </c>
      <c r="I12" s="4">
        <v>6</v>
      </c>
      <c r="J12" s="4">
        <v>11</v>
      </c>
      <c r="P12" s="24" t="s">
        <v>5</v>
      </c>
      <c r="Q12" s="35">
        <f>$K$2/R8</f>
        <v>8.2968499322356735</v>
      </c>
      <c r="R12" s="35">
        <f t="shared" ref="R12:R13" si="0">$K$2/Q8</f>
        <v>27.523970660576314</v>
      </c>
    </row>
    <row r="13" spans="1:18" x14ac:dyDescent="0.3">
      <c r="A13" s="4">
        <v>7</v>
      </c>
      <c r="B13" s="4">
        <v>6</v>
      </c>
      <c r="C13" s="4">
        <v>10</v>
      </c>
      <c r="D13" s="4">
        <v>11</v>
      </c>
      <c r="E13" s="4">
        <v>4</v>
      </c>
      <c r="F13" s="4">
        <v>11</v>
      </c>
      <c r="G13" s="4">
        <v>8</v>
      </c>
      <c r="H13" s="4">
        <v>4</v>
      </c>
      <c r="I13" s="4">
        <v>11</v>
      </c>
      <c r="J13" s="4">
        <v>9</v>
      </c>
      <c r="P13" s="24" t="s">
        <v>6</v>
      </c>
      <c r="Q13" s="35">
        <f t="shared" ref="Q13" si="1">$K$2/R9</f>
        <v>7.476312709573353</v>
      </c>
      <c r="R13" s="35">
        <f t="shared" si="0"/>
        <v>43.282804319419256</v>
      </c>
    </row>
    <row r="16" spans="1:18" x14ac:dyDescent="0.3">
      <c r="A16" s="17" t="s">
        <v>10</v>
      </c>
      <c r="B16" s="17" t="s">
        <v>23</v>
      </c>
      <c r="C16" s="36" t="s">
        <v>12</v>
      </c>
    </row>
    <row r="17" spans="1:3" x14ac:dyDescent="0.3">
      <c r="A17" s="4">
        <v>0.9</v>
      </c>
      <c r="B17" s="4">
        <v>0.03</v>
      </c>
      <c r="C17" s="42">
        <f>LN(1-A17)/LN(1-B17)</f>
        <v>75.595699400583939</v>
      </c>
    </row>
    <row r="18" spans="1:3" x14ac:dyDescent="0.3">
      <c r="A18" s="4">
        <v>0.9</v>
      </c>
      <c r="B18" s="4">
        <v>0.05</v>
      </c>
      <c r="C18" s="42">
        <f t="shared" ref="C18:C25" si="2">LN(1-A18)/LN(1-B18)</f>
        <v>44.890567480354846</v>
      </c>
    </row>
    <row r="19" spans="1:3" x14ac:dyDescent="0.3">
      <c r="A19" s="4">
        <v>0.9</v>
      </c>
      <c r="B19" s="4">
        <v>7.0000000000000007E-2</v>
      </c>
      <c r="C19" s="42">
        <f t="shared" si="2"/>
        <v>31.728856416384595</v>
      </c>
    </row>
    <row r="20" spans="1:3" x14ac:dyDescent="0.3">
      <c r="A20" s="4">
        <v>0.95</v>
      </c>
      <c r="B20" s="4">
        <v>0.03</v>
      </c>
      <c r="C20" s="42">
        <f t="shared" si="2"/>
        <v>98.352272463357309</v>
      </c>
    </row>
    <row r="21" spans="1:3" x14ac:dyDescent="0.3">
      <c r="A21" s="4">
        <v>0.95</v>
      </c>
      <c r="B21" s="4">
        <v>0.05</v>
      </c>
      <c r="C21" s="42">
        <f t="shared" si="2"/>
        <v>58.403974814319703</v>
      </c>
    </row>
    <row r="22" spans="1:3" x14ac:dyDescent="0.3">
      <c r="A22" s="4">
        <v>0.95</v>
      </c>
      <c r="B22" s="4">
        <v>7.0000000000000007E-2</v>
      </c>
      <c r="C22" s="42">
        <f t="shared" si="2"/>
        <v>41.280193925831917</v>
      </c>
    </row>
    <row r="23" spans="1:3" x14ac:dyDescent="0.3">
      <c r="A23" s="4">
        <v>0.99</v>
      </c>
      <c r="B23" s="4">
        <v>0.03</v>
      </c>
      <c r="C23" s="42">
        <f t="shared" si="2"/>
        <v>151.19139880116785</v>
      </c>
    </row>
    <row r="24" spans="1:3" x14ac:dyDescent="0.3">
      <c r="A24" s="4">
        <v>0.99</v>
      </c>
      <c r="B24" s="4">
        <v>0.05</v>
      </c>
      <c r="C24" s="42">
        <f t="shared" si="2"/>
        <v>89.781134960709679</v>
      </c>
    </row>
    <row r="25" spans="1:3" x14ac:dyDescent="0.3">
      <c r="A25" s="4">
        <v>0.99</v>
      </c>
      <c r="B25" s="4">
        <v>7.0000000000000007E-2</v>
      </c>
      <c r="C25" s="42">
        <f t="shared" si="2"/>
        <v>63.457712832769182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A9F5-0DDC-4D78-9100-75078AC42939}">
  <dimension ref="A1:T26"/>
  <sheetViews>
    <sheetView zoomScale="85" zoomScaleNormal="85" workbookViewId="0">
      <selection activeCell="H17" sqref="H17"/>
    </sheetView>
  </sheetViews>
  <sheetFormatPr defaultRowHeight="14.4" x14ac:dyDescent="0.3"/>
  <cols>
    <col min="3" max="3" width="13.109375" bestFit="1" customWidth="1"/>
    <col min="4" max="4" width="5.44140625" bestFit="1" customWidth="1"/>
    <col min="5" max="5" width="13.109375" bestFit="1" customWidth="1"/>
    <col min="6" max="6" width="6.109375" customWidth="1"/>
    <col min="11" max="11" width="10.88671875" bestFit="1" customWidth="1"/>
    <col min="12" max="12" width="17.33203125" bestFit="1" customWidth="1"/>
    <col min="13" max="13" width="16.6640625" bestFit="1" customWidth="1"/>
    <col min="14" max="14" width="16.88671875" customWidth="1"/>
    <col min="16" max="16" width="8" bestFit="1" customWidth="1"/>
    <col min="17" max="17" width="17.6640625" bestFit="1" customWidth="1"/>
    <col min="18" max="18" width="20.6640625" bestFit="1" customWidth="1"/>
    <col min="19" max="19" width="21" bestFit="1" customWidth="1"/>
    <col min="20" max="20" width="18.33203125" bestFit="1" customWidth="1"/>
  </cols>
  <sheetData>
    <row r="1" spans="1:20" ht="28.8" x14ac:dyDescent="0.4">
      <c r="C1" s="37" t="s">
        <v>24</v>
      </c>
      <c r="D1" s="38">
        <v>5</v>
      </c>
      <c r="E1" s="37" t="s">
        <v>25</v>
      </c>
      <c r="F1" s="38">
        <v>1</v>
      </c>
      <c r="L1" s="30" t="s">
        <v>15</v>
      </c>
      <c r="M1" s="12" t="s">
        <v>26</v>
      </c>
      <c r="N1" s="12" t="s">
        <v>27</v>
      </c>
      <c r="P1" s="31"/>
      <c r="Q1" s="32" t="s">
        <v>7</v>
      </c>
      <c r="R1" s="24" t="s">
        <v>28</v>
      </c>
      <c r="S1" s="24" t="s">
        <v>33</v>
      </c>
    </row>
    <row r="2" spans="1:20" x14ac:dyDescent="0.3">
      <c r="L2" s="5">
        <f>VAR(A4:J13)</f>
        <v>0.951590060606058</v>
      </c>
      <c r="M2" s="15">
        <f>AVERAGE(A4:J13)</f>
        <v>4.7928000000000006</v>
      </c>
      <c r="N2" s="5">
        <f>SQRT(L2)</f>
        <v>0.97549477733407575</v>
      </c>
      <c r="P2" s="24" t="s">
        <v>4</v>
      </c>
      <c r="Q2" s="39">
        <f>_xlfn.T.INV(0.05,99)*-1</f>
        <v>1.6603911560169928</v>
      </c>
      <c r="R2" s="39">
        <f>_xlfn.CHISQ.INV.RT(0.95, 99)</f>
        <v>77.046331863760287</v>
      </c>
      <c r="S2" s="39">
        <f>_xlfn.CHISQ.INV.RT(0.05, 99)</f>
        <v>123.2252214533618</v>
      </c>
      <c r="T2" s="29"/>
    </row>
    <row r="3" spans="1:20" ht="15.6" x14ac:dyDescent="0.3">
      <c r="A3" s="1"/>
      <c r="B3" s="1"/>
      <c r="P3" s="24" t="s">
        <v>5</v>
      </c>
      <c r="Q3" s="39">
        <f>_xlfn.T.INV(0.025,99)*-1</f>
        <v>1.9842169515864165</v>
      </c>
      <c r="R3" s="39">
        <f>_xlfn.CHISQ.INV.RT(0.975, 99)</f>
        <v>73.361080191283676</v>
      </c>
      <c r="S3" s="39">
        <f>_xlfn.CHISQ.INV.RT(0.025, 99)</f>
        <v>128.42198864384031</v>
      </c>
      <c r="T3" s="29"/>
    </row>
    <row r="4" spans="1:20" ht="15.6" customHeight="1" x14ac:dyDescent="0.3">
      <c r="A4" s="4">
        <v>5.0999999999999996</v>
      </c>
      <c r="B4" s="4">
        <v>4.07</v>
      </c>
      <c r="C4" s="4">
        <v>4.32</v>
      </c>
      <c r="D4" s="4">
        <v>5.45</v>
      </c>
      <c r="E4" s="4">
        <v>4.4000000000000004</v>
      </c>
      <c r="F4" s="4">
        <v>6.43</v>
      </c>
      <c r="G4" s="4">
        <v>6.07</v>
      </c>
      <c r="H4" s="4">
        <v>4.3099999999999996</v>
      </c>
      <c r="I4" s="4">
        <v>4.97</v>
      </c>
      <c r="J4" s="4">
        <v>3.76</v>
      </c>
      <c r="P4" s="24" t="s">
        <v>6</v>
      </c>
      <c r="Q4" s="40">
        <f>_xlfn.T.INV(0.005,99)*-1</f>
        <v>2.626405457280828</v>
      </c>
      <c r="R4" s="40">
        <f>_xlfn.CHISQ.INV.RT(0.995, 99)</f>
        <v>66.510105301737369</v>
      </c>
      <c r="S4" s="40">
        <f>_xlfn.CHISQ.INV.RT(0.005, 99)</f>
        <v>138.9867834509395</v>
      </c>
      <c r="T4" s="29"/>
    </row>
    <row r="5" spans="1:20" ht="15.6" customHeight="1" x14ac:dyDescent="0.3">
      <c r="A5" s="4">
        <v>3.21</v>
      </c>
      <c r="B5" s="4">
        <v>6.14</v>
      </c>
      <c r="C5" s="4">
        <v>3.19</v>
      </c>
      <c r="D5" s="4">
        <v>4.82</v>
      </c>
      <c r="E5" s="4">
        <v>4.83</v>
      </c>
      <c r="F5" s="4">
        <v>6.14</v>
      </c>
      <c r="G5" s="4">
        <v>5.41</v>
      </c>
      <c r="H5" s="4">
        <v>3.75</v>
      </c>
      <c r="I5" s="4">
        <v>5.1100000000000003</v>
      </c>
      <c r="J5" s="4">
        <v>5.82</v>
      </c>
      <c r="Q5" s="32" t="s">
        <v>29</v>
      </c>
      <c r="R5" s="32" t="s">
        <v>30</v>
      </c>
      <c r="S5" s="32" t="s">
        <v>31</v>
      </c>
      <c r="T5" s="32" t="s">
        <v>32</v>
      </c>
    </row>
    <row r="6" spans="1:20" ht="15.6" customHeight="1" x14ac:dyDescent="0.3">
      <c r="A6" s="4">
        <v>3.78</v>
      </c>
      <c r="B6" s="4">
        <v>3.93</v>
      </c>
      <c r="C6" s="4">
        <v>3.38</v>
      </c>
      <c r="D6" s="4">
        <v>7.55</v>
      </c>
      <c r="E6" s="4">
        <v>5.25</v>
      </c>
      <c r="F6" s="4">
        <v>5.35</v>
      </c>
      <c r="G6" s="4">
        <v>3.03</v>
      </c>
      <c r="H6" s="4">
        <v>5.51</v>
      </c>
      <c r="I6" s="4">
        <v>5.49</v>
      </c>
      <c r="J6" s="4">
        <v>5.48</v>
      </c>
      <c r="P6" s="24" t="s">
        <v>4</v>
      </c>
      <c r="Q6" s="39">
        <f xml:space="preserve"> $M$2 - Q2 * $N$2 / SQRT(100)</f>
        <v>4.6308297098973741</v>
      </c>
      <c r="R6" s="39">
        <f xml:space="preserve"> $M$2 + Q2 * $N$2 / SQRT(100)</f>
        <v>4.9547702901026272</v>
      </c>
      <c r="S6" s="39">
        <f>SQRT(99 * $L$2 / S2)</f>
        <v>0.87436495435756578</v>
      </c>
      <c r="T6" s="39">
        <f>SQRT(99 * $L$2 / R2)</f>
        <v>1.1057744791720383</v>
      </c>
    </row>
    <row r="7" spans="1:20" ht="15.6" customHeight="1" x14ac:dyDescent="0.3">
      <c r="A7" s="4">
        <v>4.54</v>
      </c>
      <c r="B7" s="4">
        <v>4.6399999999999997</v>
      </c>
      <c r="C7" s="4">
        <v>4.55</v>
      </c>
      <c r="D7" s="4">
        <v>6.27</v>
      </c>
      <c r="E7" s="4">
        <v>4.08</v>
      </c>
      <c r="F7" s="4">
        <v>5.3</v>
      </c>
      <c r="G7" s="4">
        <v>4.12</v>
      </c>
      <c r="H7" s="4">
        <v>3.58</v>
      </c>
      <c r="I7" s="4">
        <v>4.43</v>
      </c>
      <c r="J7" s="4">
        <v>5.18</v>
      </c>
      <c r="P7" s="24" t="s">
        <v>5</v>
      </c>
      <c r="Q7" s="39">
        <f t="shared" ref="Q7:Q8" si="0" xml:space="preserve"> $M$2 - Q3 * $N$2 / SQRT(100)</f>
        <v>4.5992406726629715</v>
      </c>
      <c r="R7" s="39">
        <f t="shared" ref="R7:R8" si="1" xml:space="preserve"> $M$2 + Q3 * $N$2 / SQRT(100)</f>
        <v>4.9863593273370297</v>
      </c>
      <c r="S7" s="39">
        <f t="shared" ref="S7:S8" si="2">SQRT(99 * $L$2 / S3)</f>
        <v>0.85649109215504304</v>
      </c>
      <c r="T7" s="39">
        <f t="shared" ref="T7:T8" si="3">SQRT(99 * $L$2 / R3)</f>
        <v>1.1332081444981319</v>
      </c>
    </row>
    <row r="8" spans="1:20" ht="15.6" customHeight="1" x14ac:dyDescent="0.3">
      <c r="A8" s="4">
        <v>6.3</v>
      </c>
      <c r="B8" s="4">
        <v>3.48</v>
      </c>
      <c r="C8" s="4">
        <v>4.71</v>
      </c>
      <c r="D8" s="4">
        <v>5.51</v>
      </c>
      <c r="E8" s="4">
        <v>4.82</v>
      </c>
      <c r="F8" s="4">
        <v>4.5</v>
      </c>
      <c r="G8" s="4">
        <v>5.49</v>
      </c>
      <c r="H8" s="4">
        <v>4.13</v>
      </c>
      <c r="I8" s="4">
        <v>3.95</v>
      </c>
      <c r="J8" s="4">
        <v>4.0599999999999996</v>
      </c>
      <c r="P8" s="24" t="s">
        <v>6</v>
      </c>
      <c r="Q8" s="39">
        <f t="shared" si="0"/>
        <v>4.5365955193260845</v>
      </c>
      <c r="R8" s="39">
        <f t="shared" si="1"/>
        <v>5.0490044806739167</v>
      </c>
      <c r="S8" s="39">
        <f t="shared" si="2"/>
        <v>0.82329559882717818</v>
      </c>
      <c r="T8" s="39">
        <f t="shared" si="3"/>
        <v>1.1901418533658108</v>
      </c>
    </row>
    <row r="9" spans="1:20" ht="15.6" customHeight="1" x14ac:dyDescent="0.3">
      <c r="A9" s="4">
        <v>3.53</v>
      </c>
      <c r="B9" s="4">
        <v>3.2</v>
      </c>
      <c r="C9" s="4">
        <v>6.16</v>
      </c>
      <c r="D9" s="4">
        <v>5.0599999999999996</v>
      </c>
      <c r="E9" s="4">
        <v>4.8600000000000003</v>
      </c>
      <c r="F9" s="4">
        <v>4.92</v>
      </c>
      <c r="G9" s="4">
        <v>4.9000000000000004</v>
      </c>
      <c r="H9" s="4">
        <v>5.32</v>
      </c>
      <c r="I9" s="4">
        <v>4.1500000000000004</v>
      </c>
      <c r="J9" s="4">
        <v>4.43</v>
      </c>
    </row>
    <row r="10" spans="1:20" ht="15.6" customHeight="1" x14ac:dyDescent="0.3">
      <c r="A10" s="4">
        <v>3.33</v>
      </c>
      <c r="B10" s="4">
        <v>6.05</v>
      </c>
      <c r="C10" s="4">
        <v>3.97</v>
      </c>
      <c r="D10" s="4">
        <v>5.41</v>
      </c>
      <c r="E10" s="4">
        <v>5.8</v>
      </c>
      <c r="F10" s="4">
        <v>4.51</v>
      </c>
      <c r="G10" s="4">
        <v>6.12</v>
      </c>
      <c r="H10" s="4">
        <v>5.74</v>
      </c>
      <c r="I10" s="4">
        <v>3.12</v>
      </c>
      <c r="J10" s="4">
        <v>5.94</v>
      </c>
    </row>
    <row r="11" spans="1:20" ht="15.6" customHeight="1" x14ac:dyDescent="0.3">
      <c r="A11" s="4">
        <v>5.82</v>
      </c>
      <c r="B11" s="4">
        <v>3.26</v>
      </c>
      <c r="C11" s="4">
        <v>5.56</v>
      </c>
      <c r="D11" s="4">
        <v>4.68</v>
      </c>
      <c r="E11" s="4">
        <v>3.57</v>
      </c>
      <c r="F11" s="4">
        <v>4.43</v>
      </c>
      <c r="G11" s="4">
        <v>3.85</v>
      </c>
      <c r="H11" s="4">
        <v>4.93</v>
      </c>
      <c r="I11" s="4">
        <v>5.0599999999999996</v>
      </c>
      <c r="J11" s="4">
        <v>4.9400000000000004</v>
      </c>
    </row>
    <row r="12" spans="1:20" ht="15.6" customHeight="1" x14ac:dyDescent="0.3">
      <c r="A12" s="4">
        <v>5.35</v>
      </c>
      <c r="B12" s="4">
        <v>5.19</v>
      </c>
      <c r="C12" s="4">
        <v>5.15</v>
      </c>
      <c r="D12" s="4">
        <v>5.0199999999999996</v>
      </c>
      <c r="E12" s="4">
        <v>5.3</v>
      </c>
      <c r="F12" s="4">
        <v>7.15</v>
      </c>
      <c r="G12" s="4">
        <v>5.26</v>
      </c>
      <c r="H12" s="4">
        <v>5.38</v>
      </c>
      <c r="I12" s="4">
        <v>3.9</v>
      </c>
      <c r="J12" s="4">
        <v>4.51</v>
      </c>
    </row>
    <row r="13" spans="1:20" ht="15.6" customHeight="1" x14ac:dyDescent="0.3">
      <c r="A13" s="4">
        <v>5.81</v>
      </c>
      <c r="B13" s="4">
        <v>3.13</v>
      </c>
      <c r="C13" s="4">
        <v>5.44</v>
      </c>
      <c r="D13" s="4">
        <v>3.37</v>
      </c>
      <c r="E13" s="4">
        <v>4.84</v>
      </c>
      <c r="F13" s="4">
        <v>6.36</v>
      </c>
      <c r="G13" s="4">
        <v>4.75</v>
      </c>
      <c r="H13" s="4">
        <v>4.29</v>
      </c>
      <c r="I13" s="4">
        <v>3.73</v>
      </c>
      <c r="J13" s="4">
        <v>3.04</v>
      </c>
    </row>
    <row r="17" spans="1:4" x14ac:dyDescent="0.3">
      <c r="A17" s="17" t="s">
        <v>10</v>
      </c>
      <c r="B17" s="17" t="s">
        <v>9</v>
      </c>
      <c r="C17" s="17" t="s">
        <v>34</v>
      </c>
      <c r="D17" s="21" t="s">
        <v>12</v>
      </c>
    </row>
    <row r="18" spans="1:4" x14ac:dyDescent="0.3">
      <c r="A18" s="4">
        <v>0.9</v>
      </c>
      <c r="B18" s="4">
        <v>0.05</v>
      </c>
      <c r="C18" s="19">
        <f>($M$2*B18)/$N$2</f>
        <v>0.24565995181943553</v>
      </c>
      <c r="D18" s="21">
        <v>47</v>
      </c>
    </row>
    <row r="19" spans="1:4" x14ac:dyDescent="0.3">
      <c r="A19" s="4">
        <v>0.9</v>
      </c>
      <c r="B19" s="4">
        <v>0.1</v>
      </c>
      <c r="C19" s="19">
        <f t="shared" ref="C19:C26" si="4">($M$2*B19)/$N$2</f>
        <v>0.49131990363887107</v>
      </c>
      <c r="D19" s="21">
        <v>13</v>
      </c>
    </row>
    <row r="20" spans="1:4" x14ac:dyDescent="0.3">
      <c r="A20" s="4">
        <v>0.9</v>
      </c>
      <c r="B20" s="4">
        <v>0.2</v>
      </c>
      <c r="C20" s="19">
        <f t="shared" si="4"/>
        <v>0.98263980727774214</v>
      </c>
      <c r="D20" s="21">
        <v>4</v>
      </c>
    </row>
    <row r="21" spans="1:4" x14ac:dyDescent="0.3">
      <c r="A21" s="4">
        <v>0.95</v>
      </c>
      <c r="B21" s="4">
        <v>0.05</v>
      </c>
      <c r="C21" s="19">
        <f t="shared" si="4"/>
        <v>0.24565995181943553</v>
      </c>
      <c r="D21" s="21">
        <v>65</v>
      </c>
    </row>
    <row r="22" spans="1:4" x14ac:dyDescent="0.3">
      <c r="A22" s="4">
        <v>0.95</v>
      </c>
      <c r="B22" s="4">
        <v>0.1</v>
      </c>
      <c r="C22" s="19">
        <f t="shared" si="4"/>
        <v>0.49131990363887107</v>
      </c>
      <c r="D22" s="21">
        <v>18</v>
      </c>
    </row>
    <row r="23" spans="1:4" x14ac:dyDescent="0.3">
      <c r="A23" s="4">
        <v>0.95</v>
      </c>
      <c r="B23" s="4">
        <v>0.2</v>
      </c>
      <c r="C23" s="19">
        <f t="shared" si="4"/>
        <v>0.98263980727774214</v>
      </c>
      <c r="D23" s="21">
        <v>6</v>
      </c>
    </row>
    <row r="24" spans="1:4" x14ac:dyDescent="0.3">
      <c r="A24" s="4">
        <v>0.99</v>
      </c>
      <c r="B24" s="4">
        <v>0.05</v>
      </c>
      <c r="C24" s="19">
        <f t="shared" si="4"/>
        <v>0.24565995181943553</v>
      </c>
      <c r="D24" s="21">
        <v>120</v>
      </c>
    </row>
    <row r="25" spans="1:4" x14ac:dyDescent="0.3">
      <c r="A25" s="4">
        <v>0.99</v>
      </c>
      <c r="B25" s="4">
        <v>0.1</v>
      </c>
      <c r="C25" s="19">
        <f t="shared" si="4"/>
        <v>0.49131990363887107</v>
      </c>
      <c r="D25" s="21">
        <v>31</v>
      </c>
    </row>
    <row r="26" spans="1:4" x14ac:dyDescent="0.3">
      <c r="A26" s="4">
        <v>0.99</v>
      </c>
      <c r="B26" s="4">
        <v>0.2</v>
      </c>
      <c r="C26" s="19">
        <f t="shared" si="4"/>
        <v>0.98263980727774214</v>
      </c>
      <c r="D26" s="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Показ</vt:lpstr>
      <vt:lpstr>Бином</vt:lpstr>
      <vt:lpstr>Норм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Lion120454#2</dc:creator>
  <cp:lastModifiedBy>Lion120454#2</cp:lastModifiedBy>
  <dcterms:created xsi:type="dcterms:W3CDTF">2025-09-29T10:01:33Z</dcterms:created>
  <dcterms:modified xsi:type="dcterms:W3CDTF">2025-10-23T11:50:02Z</dcterms:modified>
</cp:coreProperties>
</file>