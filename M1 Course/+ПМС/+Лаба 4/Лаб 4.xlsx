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Flashka\ПМС\Лаба 4\"/>
    </mc:Choice>
  </mc:AlternateContent>
  <xr:revisionPtr revIDLastSave="0" documentId="13_ncr:1_{207E0A83-557B-4AC8-A994-D9BE707CD3E8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4.1" sheetId="1" r:id="rId1"/>
    <sheet name="4.2" sheetId="2" r:id="rId2"/>
    <sheet name="4.3" sheetId="3" r:id="rId3"/>
    <sheet name="4.4" sheetId="4" r:id="rId4"/>
  </sheets>
  <definedNames>
    <definedName name="h" localSheetId="0">'4.1'!$B$1</definedName>
    <definedName name="k" localSheetId="0">'4.1'!$B$3</definedName>
    <definedName name="n" localSheetId="1">'4.2'!$B$1</definedName>
    <definedName name="o" localSheetId="0">'4.1'!$B$2</definedName>
    <definedName name="p" localSheetId="1">'4.2'!$B$2</definedName>
    <definedName name="μ" localSheetId="0">'4.1'!$B$1</definedName>
    <definedName name="σ" localSheetId="0">'4.1'!$B$2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1" i="3" l="1"/>
  <c r="O40" i="3"/>
  <c r="U39" i="3"/>
  <c r="Q39" i="3"/>
  <c r="Q38" i="3"/>
  <c r="J39" i="3"/>
  <c r="J40" i="3"/>
  <c r="J41" i="3"/>
  <c r="J42" i="3"/>
  <c r="J43" i="3"/>
  <c r="J44" i="3"/>
  <c r="J45" i="3"/>
  <c r="J46" i="3"/>
  <c r="J47" i="3"/>
  <c r="J38" i="3"/>
  <c r="J48" i="3" s="1"/>
  <c r="A50" i="3"/>
  <c r="L24" i="4" l="1"/>
  <c r="L23" i="4"/>
  <c r="L22" i="4"/>
  <c r="L21" i="4"/>
  <c r="L20" i="4"/>
  <c r="L19" i="4"/>
  <c r="L18" i="4"/>
  <c r="L17" i="4"/>
  <c r="A26" i="4"/>
  <c r="H24" i="4"/>
  <c r="A24" i="4"/>
  <c r="B24" i="4"/>
  <c r="C24" i="4"/>
  <c r="D24" i="4"/>
  <c r="E24" i="4"/>
  <c r="F24" i="4"/>
  <c r="G24" i="4"/>
  <c r="A25" i="4"/>
  <c r="B22" i="4"/>
  <c r="A22" i="4"/>
  <c r="A14" i="4"/>
  <c r="C22" i="4"/>
  <c r="D22" i="4"/>
  <c r="E22" i="4"/>
  <c r="F22" i="4"/>
  <c r="G22" i="4"/>
  <c r="H22" i="4"/>
  <c r="B21" i="4"/>
  <c r="C21" i="4"/>
  <c r="D21" i="4"/>
  <c r="E21" i="4"/>
  <c r="F21" i="4"/>
  <c r="G21" i="4"/>
  <c r="H21" i="4"/>
  <c r="A21" i="4"/>
  <c r="B20" i="4"/>
  <c r="C20" i="4"/>
  <c r="D20" i="4"/>
  <c r="E20" i="4"/>
  <c r="F20" i="4"/>
  <c r="G20" i="4"/>
  <c r="H20" i="4"/>
  <c r="A20" i="4"/>
  <c r="B19" i="4"/>
  <c r="C19" i="4"/>
  <c r="D19" i="4"/>
  <c r="E19" i="4"/>
  <c r="F19" i="4"/>
  <c r="G19" i="4"/>
  <c r="H19" i="4"/>
  <c r="A19" i="4"/>
  <c r="B18" i="4"/>
  <c r="C18" i="4"/>
  <c r="D18" i="4"/>
  <c r="E18" i="4"/>
  <c r="F18" i="4"/>
  <c r="G18" i="4"/>
  <c r="H18" i="4"/>
  <c r="A18" i="4"/>
  <c r="B17" i="4"/>
  <c r="C17" i="4"/>
  <c r="D17" i="4"/>
  <c r="E17" i="4"/>
  <c r="F17" i="4"/>
  <c r="G17" i="4"/>
  <c r="H17" i="4"/>
  <c r="A17" i="4"/>
  <c r="B16" i="4"/>
  <c r="C16" i="4"/>
  <c r="D16" i="4"/>
  <c r="E16" i="4"/>
  <c r="F16" i="4"/>
  <c r="G16" i="4"/>
  <c r="H16" i="4"/>
  <c r="A16" i="4"/>
  <c r="B15" i="4"/>
  <c r="C15" i="4"/>
  <c r="D15" i="4"/>
  <c r="E15" i="4"/>
  <c r="F15" i="4"/>
  <c r="G15" i="4"/>
  <c r="H15" i="4"/>
  <c r="A15" i="4"/>
  <c r="B14" i="4"/>
  <c r="C14" i="4"/>
  <c r="D14" i="4"/>
  <c r="E14" i="4"/>
  <c r="F14" i="4"/>
  <c r="G14" i="4"/>
  <c r="H14" i="4"/>
  <c r="A13" i="4"/>
  <c r="B13" i="4"/>
  <c r="C13" i="4"/>
  <c r="D13" i="4"/>
  <c r="E13" i="4"/>
  <c r="F13" i="4"/>
  <c r="G13" i="4"/>
  <c r="H13" i="4"/>
  <c r="D2" i="2"/>
  <c r="N13" i="4"/>
  <c r="N11" i="4"/>
  <c r="A18" i="2"/>
  <c r="A36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H25" i="2"/>
  <c r="G25" i="2"/>
  <c r="F25" i="2"/>
  <c r="E25" i="2"/>
  <c r="D25" i="2"/>
  <c r="C25" i="2"/>
  <c r="B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A19" i="2"/>
  <c r="A20" i="2"/>
  <c r="A21" i="2"/>
  <c r="A22" i="2"/>
  <c r="A23" i="2"/>
  <c r="A24" i="2"/>
  <c r="A25" i="2"/>
  <c r="A26" i="2"/>
  <c r="A27" i="2"/>
  <c r="J6" i="2"/>
  <c r="Q40" i="3"/>
  <c r="K2" i="1"/>
  <c r="K1" i="1"/>
  <c r="I2" i="1"/>
  <c r="B50" i="3"/>
  <c r="I50" i="3" s="1"/>
  <c r="C50" i="3"/>
  <c r="D50" i="3"/>
  <c r="E50" i="3"/>
  <c r="F50" i="3"/>
  <c r="G50" i="3"/>
  <c r="H50" i="3"/>
  <c r="A20" i="1"/>
  <c r="H53" i="3"/>
  <c r="H54" i="3"/>
  <c r="H55" i="3"/>
  <c r="H56" i="3"/>
  <c r="H57" i="3"/>
  <c r="H58" i="3"/>
  <c r="H59" i="3"/>
  <c r="H60" i="3"/>
  <c r="H61" i="3"/>
  <c r="H52" i="3"/>
  <c r="G53" i="3"/>
  <c r="G54" i="3"/>
  <c r="G55" i="3"/>
  <c r="G56" i="3"/>
  <c r="G57" i="3"/>
  <c r="G58" i="3"/>
  <c r="G59" i="3"/>
  <c r="G60" i="3"/>
  <c r="G61" i="3"/>
  <c r="G52" i="3"/>
  <c r="F53" i="3"/>
  <c r="F54" i="3"/>
  <c r="F55" i="3"/>
  <c r="F56" i="3"/>
  <c r="F57" i="3"/>
  <c r="F58" i="3"/>
  <c r="F59" i="3"/>
  <c r="F60" i="3"/>
  <c r="F61" i="3"/>
  <c r="F52" i="3"/>
  <c r="E55" i="3"/>
  <c r="E53" i="3"/>
  <c r="E54" i="3"/>
  <c r="E56" i="3"/>
  <c r="E57" i="3"/>
  <c r="E58" i="3"/>
  <c r="E59" i="3"/>
  <c r="E60" i="3"/>
  <c r="E61" i="3"/>
  <c r="E52" i="3"/>
  <c r="D53" i="3"/>
  <c r="D54" i="3"/>
  <c r="D55" i="3"/>
  <c r="D56" i="3"/>
  <c r="D57" i="3"/>
  <c r="D58" i="3"/>
  <c r="D59" i="3"/>
  <c r="D60" i="3"/>
  <c r="D61" i="3"/>
  <c r="D52" i="3"/>
  <c r="C53" i="3"/>
  <c r="C54" i="3"/>
  <c r="C55" i="3"/>
  <c r="C56" i="3"/>
  <c r="C57" i="3"/>
  <c r="C58" i="3"/>
  <c r="C59" i="3"/>
  <c r="C60" i="3"/>
  <c r="C61" i="3"/>
  <c r="C52" i="3"/>
  <c r="B54" i="3"/>
  <c r="B53" i="3"/>
  <c r="B55" i="3"/>
  <c r="B56" i="3"/>
  <c r="B57" i="3"/>
  <c r="B58" i="3"/>
  <c r="B59" i="3"/>
  <c r="B60" i="3"/>
  <c r="B61" i="3"/>
  <c r="B52" i="3"/>
  <c r="A53" i="3"/>
  <c r="A54" i="3"/>
  <c r="A55" i="3"/>
  <c r="A56" i="3"/>
  <c r="A57" i="3"/>
  <c r="A58" i="3"/>
  <c r="A59" i="3"/>
  <c r="A60" i="3"/>
  <c r="A61" i="3"/>
  <c r="A52" i="3"/>
  <c r="I1" i="1"/>
  <c r="O39" i="3"/>
  <c r="B49" i="3"/>
  <c r="C49" i="3"/>
  <c r="D49" i="3"/>
  <c r="E49" i="3"/>
  <c r="F49" i="3"/>
  <c r="G49" i="3"/>
  <c r="H49" i="3"/>
  <c r="A49" i="3"/>
  <c r="D1" i="1"/>
  <c r="O38" i="3"/>
  <c r="I39" i="3"/>
  <c r="I40" i="3"/>
  <c r="I41" i="3"/>
  <c r="I42" i="3"/>
  <c r="I43" i="3"/>
  <c r="I44" i="3"/>
  <c r="I45" i="3"/>
  <c r="I46" i="3"/>
  <c r="I47" i="3"/>
  <c r="I38" i="3"/>
  <c r="B48" i="3"/>
  <c r="C48" i="3"/>
  <c r="D48" i="3"/>
  <c r="E48" i="3"/>
  <c r="F48" i="3"/>
  <c r="G48" i="3"/>
  <c r="H48" i="3"/>
  <c r="A48" i="3"/>
  <c r="C47" i="3"/>
  <c r="C46" i="3"/>
  <c r="C45" i="3"/>
  <c r="C44" i="3"/>
  <c r="C43" i="3"/>
  <c r="C42" i="3"/>
  <c r="C41" i="3"/>
  <c r="C40" i="3"/>
  <c r="C39" i="3"/>
  <c r="C38" i="3"/>
  <c r="B47" i="3"/>
  <c r="B46" i="3"/>
  <c r="B45" i="3"/>
  <c r="B44" i="3"/>
  <c r="B43" i="3"/>
  <c r="B42" i="3"/>
  <c r="B41" i="3"/>
  <c r="B40" i="3"/>
  <c r="B39" i="3"/>
  <c r="B38" i="3"/>
  <c r="CI31" i="3"/>
  <c r="CH31" i="3"/>
  <c r="CG31" i="3"/>
  <c r="CF31" i="3"/>
  <c r="CE31" i="3"/>
  <c r="CD31" i="3"/>
  <c r="CC31" i="3"/>
  <c r="CB31" i="3"/>
  <c r="CA31" i="3"/>
  <c r="BZ31" i="3"/>
  <c r="BX31" i="3"/>
  <c r="BW31" i="3"/>
  <c r="BV31" i="3"/>
  <c r="BU31" i="3"/>
  <c r="BT31" i="3"/>
  <c r="BS31" i="3"/>
  <c r="BR31" i="3"/>
  <c r="BQ31" i="3"/>
  <c r="BP31" i="3"/>
  <c r="BO31" i="3"/>
  <c r="BM31" i="3"/>
  <c r="BL31" i="3"/>
  <c r="BK31" i="3"/>
  <c r="BJ31" i="3"/>
  <c r="BI31" i="3"/>
  <c r="BH31" i="3"/>
  <c r="BG31" i="3"/>
  <c r="BF31" i="3"/>
  <c r="BE31" i="3"/>
  <c r="BD31" i="3"/>
  <c r="BB31" i="3"/>
  <c r="BA31" i="3"/>
  <c r="AZ31" i="3"/>
  <c r="AY31" i="3"/>
  <c r="AX31" i="3"/>
  <c r="AW31" i="3"/>
  <c r="AV31" i="3"/>
  <c r="AU31" i="3"/>
  <c r="AT31" i="3"/>
  <c r="AS31" i="3"/>
  <c r="AQ31" i="3"/>
  <c r="AP31" i="3"/>
  <c r="AO31" i="3"/>
  <c r="AN31" i="3"/>
  <c r="AM31" i="3"/>
  <c r="AL31" i="3"/>
  <c r="AK31" i="3"/>
  <c r="AJ31" i="3"/>
  <c r="AI31" i="3"/>
  <c r="AH31" i="3"/>
  <c r="AF31" i="3"/>
  <c r="AE31" i="3"/>
  <c r="AD31" i="3"/>
  <c r="AC31" i="3"/>
  <c r="AB31" i="3"/>
  <c r="AA31" i="3"/>
  <c r="Z31" i="3"/>
  <c r="Y31" i="3"/>
  <c r="X31" i="3"/>
  <c r="W31" i="3"/>
  <c r="U31" i="3"/>
  <c r="T31" i="3"/>
  <c r="S31" i="3"/>
  <c r="R31" i="3"/>
  <c r="Q31" i="3"/>
  <c r="P31" i="3"/>
  <c r="O31" i="3"/>
  <c r="N31" i="3"/>
  <c r="M31" i="3"/>
  <c r="L31" i="3"/>
  <c r="B31" i="3"/>
  <c r="C31" i="3"/>
  <c r="D31" i="3"/>
  <c r="E31" i="3"/>
  <c r="F31" i="3"/>
  <c r="G31" i="3"/>
  <c r="H31" i="3"/>
  <c r="I31" i="3"/>
  <c r="J31" i="3"/>
  <c r="A31" i="3"/>
  <c r="U26" i="2"/>
  <c r="U25" i="2"/>
  <c r="S115" i="2"/>
  <c r="S116" i="2"/>
  <c r="S117" i="2"/>
  <c r="S118" i="2"/>
  <c r="S119" i="2"/>
  <c r="S120" i="2"/>
  <c r="S121" i="2"/>
  <c r="S122" i="2"/>
  <c r="S123" i="2"/>
  <c r="S114" i="2"/>
  <c r="Q115" i="2"/>
  <c r="Q116" i="2"/>
  <c r="Q117" i="2"/>
  <c r="Q118" i="2"/>
  <c r="Q119" i="2"/>
  <c r="Q120" i="2"/>
  <c r="Q121" i="2"/>
  <c r="Q122" i="2"/>
  <c r="Q123" i="2"/>
  <c r="Q114" i="2"/>
  <c r="O115" i="2"/>
  <c r="O116" i="2"/>
  <c r="O117" i="2"/>
  <c r="O118" i="2"/>
  <c r="O119" i="2"/>
  <c r="O120" i="2"/>
  <c r="O121" i="2"/>
  <c r="O122" i="2"/>
  <c r="O123" i="2"/>
  <c r="O114" i="2"/>
  <c r="M115" i="2"/>
  <c r="M116" i="2"/>
  <c r="M117" i="2"/>
  <c r="M118" i="2"/>
  <c r="M119" i="2"/>
  <c r="M120" i="2"/>
  <c r="M121" i="2"/>
  <c r="M122" i="2"/>
  <c r="M123" i="2"/>
  <c r="M114" i="2"/>
  <c r="K114" i="2"/>
  <c r="K115" i="2"/>
  <c r="K116" i="2"/>
  <c r="K117" i="2"/>
  <c r="K118" i="2"/>
  <c r="K119" i="2"/>
  <c r="K120" i="2"/>
  <c r="K121" i="2"/>
  <c r="K122" i="2"/>
  <c r="K123" i="2"/>
  <c r="I115" i="2"/>
  <c r="I116" i="2"/>
  <c r="I117" i="2"/>
  <c r="I118" i="2"/>
  <c r="I119" i="2"/>
  <c r="I120" i="2"/>
  <c r="I121" i="2"/>
  <c r="I122" i="2"/>
  <c r="I123" i="2"/>
  <c r="I114" i="2"/>
  <c r="G115" i="2"/>
  <c r="G116" i="2"/>
  <c r="G117" i="2"/>
  <c r="G118" i="2"/>
  <c r="G119" i="2"/>
  <c r="G120" i="2"/>
  <c r="G121" i="2"/>
  <c r="G122" i="2"/>
  <c r="G123" i="2"/>
  <c r="G114" i="2"/>
  <c r="E115" i="2"/>
  <c r="E116" i="2"/>
  <c r="E117" i="2"/>
  <c r="E118" i="2"/>
  <c r="E119" i="2"/>
  <c r="E120" i="2"/>
  <c r="E121" i="2"/>
  <c r="E122" i="2"/>
  <c r="E123" i="2"/>
  <c r="E114" i="2"/>
  <c r="C115" i="2"/>
  <c r="C116" i="2"/>
  <c r="C117" i="2"/>
  <c r="C118" i="2"/>
  <c r="C119" i="2"/>
  <c r="C120" i="2"/>
  <c r="C121" i="2"/>
  <c r="C122" i="2"/>
  <c r="C123" i="2"/>
  <c r="C114" i="2"/>
  <c r="A114" i="2"/>
  <c r="A115" i="2"/>
  <c r="A116" i="2"/>
  <c r="A117" i="2"/>
  <c r="A118" i="2"/>
  <c r="A119" i="2"/>
  <c r="A120" i="2"/>
  <c r="A121" i="2"/>
  <c r="A122" i="2"/>
  <c r="A123" i="2"/>
  <c r="A101" i="2"/>
  <c r="AC101" i="2"/>
  <c r="AC102" i="2"/>
  <c r="AC103" i="2"/>
  <c r="AC104" i="2"/>
  <c r="AC105" i="2"/>
  <c r="AC106" i="2"/>
  <c r="AC107" i="2"/>
  <c r="AC108" i="2"/>
  <c r="AC109" i="2"/>
  <c r="AC110" i="2"/>
  <c r="AB102" i="2"/>
  <c r="AB103" i="2"/>
  <c r="AB104" i="2"/>
  <c r="AB105" i="2"/>
  <c r="AB106" i="2"/>
  <c r="AB107" i="2"/>
  <c r="AB108" i="2"/>
  <c r="AB109" i="2"/>
  <c r="AB110" i="2"/>
  <c r="AB101" i="2"/>
  <c r="Z101" i="2"/>
  <c r="Z102" i="2"/>
  <c r="Z103" i="2"/>
  <c r="Z104" i="2"/>
  <c r="Z105" i="2"/>
  <c r="Z106" i="2"/>
  <c r="Z107" i="2"/>
  <c r="Z108" i="2"/>
  <c r="Z109" i="2"/>
  <c r="Z110" i="2"/>
  <c r="Y102" i="2"/>
  <c r="Y103" i="2"/>
  <c r="Y104" i="2"/>
  <c r="Y105" i="2"/>
  <c r="Y106" i="2"/>
  <c r="Y107" i="2"/>
  <c r="Y108" i="2"/>
  <c r="Y109" i="2"/>
  <c r="Y110" i="2"/>
  <c r="Y101" i="2"/>
  <c r="V101" i="2"/>
  <c r="W101" i="2"/>
  <c r="W102" i="2"/>
  <c r="W103" i="2"/>
  <c r="W104" i="2"/>
  <c r="W105" i="2"/>
  <c r="W106" i="2"/>
  <c r="W107" i="2"/>
  <c r="W108" i="2"/>
  <c r="W109" i="2"/>
  <c r="W110" i="2"/>
  <c r="V102" i="2"/>
  <c r="V103" i="2"/>
  <c r="V104" i="2"/>
  <c r="V105" i="2"/>
  <c r="V106" i="2"/>
  <c r="V107" i="2"/>
  <c r="V108" i="2"/>
  <c r="V109" i="2"/>
  <c r="V110" i="2"/>
  <c r="T101" i="2"/>
  <c r="T102" i="2"/>
  <c r="T103" i="2"/>
  <c r="T104" i="2"/>
  <c r="T105" i="2"/>
  <c r="T106" i="2"/>
  <c r="T107" i="2"/>
  <c r="T108" i="2"/>
  <c r="T109" i="2"/>
  <c r="T110" i="2"/>
  <c r="S102" i="2"/>
  <c r="S103" i="2"/>
  <c r="S104" i="2"/>
  <c r="S105" i="2"/>
  <c r="S106" i="2"/>
  <c r="S107" i="2"/>
  <c r="S108" i="2"/>
  <c r="S109" i="2"/>
  <c r="S110" i="2"/>
  <c r="S101" i="2"/>
  <c r="Q101" i="2"/>
  <c r="Q102" i="2"/>
  <c r="Q103" i="2"/>
  <c r="Q104" i="2"/>
  <c r="Q105" i="2"/>
  <c r="Q106" i="2"/>
  <c r="Q107" i="2"/>
  <c r="Q108" i="2"/>
  <c r="Q109" i="2"/>
  <c r="Q110" i="2"/>
  <c r="P102" i="2"/>
  <c r="P103" i="2"/>
  <c r="P104" i="2"/>
  <c r="P105" i="2"/>
  <c r="P106" i="2"/>
  <c r="P107" i="2"/>
  <c r="P108" i="2"/>
  <c r="P109" i="2"/>
  <c r="P110" i="2"/>
  <c r="P101" i="2"/>
  <c r="M101" i="2"/>
  <c r="N101" i="2"/>
  <c r="N102" i="2"/>
  <c r="N103" i="2"/>
  <c r="N104" i="2"/>
  <c r="N105" i="2"/>
  <c r="N106" i="2"/>
  <c r="N107" i="2"/>
  <c r="N108" i="2"/>
  <c r="N109" i="2"/>
  <c r="N110" i="2"/>
  <c r="M102" i="2"/>
  <c r="M103" i="2"/>
  <c r="M104" i="2"/>
  <c r="M105" i="2"/>
  <c r="M106" i="2"/>
  <c r="M107" i="2"/>
  <c r="M108" i="2"/>
  <c r="M109" i="2"/>
  <c r="M110" i="2"/>
  <c r="K101" i="2"/>
  <c r="K102" i="2"/>
  <c r="K103" i="2"/>
  <c r="K104" i="2"/>
  <c r="K105" i="2"/>
  <c r="K106" i="2"/>
  <c r="K107" i="2"/>
  <c r="K108" i="2"/>
  <c r="K109" i="2"/>
  <c r="K110" i="2"/>
  <c r="J102" i="2"/>
  <c r="J103" i="2"/>
  <c r="J104" i="2"/>
  <c r="J105" i="2"/>
  <c r="J106" i="2"/>
  <c r="J107" i="2"/>
  <c r="J108" i="2"/>
  <c r="J109" i="2"/>
  <c r="J110" i="2"/>
  <c r="J101" i="2"/>
  <c r="H101" i="2"/>
  <c r="H102" i="2"/>
  <c r="H103" i="2"/>
  <c r="H104" i="2"/>
  <c r="H105" i="2"/>
  <c r="H106" i="2"/>
  <c r="H107" i="2"/>
  <c r="H108" i="2"/>
  <c r="H109" i="2"/>
  <c r="H110" i="2"/>
  <c r="G102" i="2"/>
  <c r="G103" i="2"/>
  <c r="G104" i="2"/>
  <c r="G105" i="2"/>
  <c r="G106" i="2"/>
  <c r="G107" i="2"/>
  <c r="G108" i="2"/>
  <c r="G109" i="2"/>
  <c r="G110" i="2"/>
  <c r="G101" i="2"/>
  <c r="E101" i="2"/>
  <c r="E102" i="2"/>
  <c r="E103" i="2"/>
  <c r="E104" i="2"/>
  <c r="E105" i="2"/>
  <c r="E106" i="2"/>
  <c r="E107" i="2"/>
  <c r="E108" i="2"/>
  <c r="E109" i="2"/>
  <c r="E110" i="2"/>
  <c r="D102" i="2"/>
  <c r="D103" i="2"/>
  <c r="D104" i="2"/>
  <c r="D105" i="2"/>
  <c r="D106" i="2"/>
  <c r="D107" i="2"/>
  <c r="D108" i="2"/>
  <c r="D109" i="2"/>
  <c r="D110" i="2"/>
  <c r="D101" i="2"/>
  <c r="B101" i="2"/>
  <c r="B102" i="2"/>
  <c r="B103" i="2"/>
  <c r="B104" i="2"/>
  <c r="B105" i="2"/>
  <c r="B106" i="2"/>
  <c r="B107" i="2"/>
  <c r="B108" i="2"/>
  <c r="B109" i="2"/>
  <c r="B110" i="2"/>
  <c r="A102" i="2"/>
  <c r="A103" i="2"/>
  <c r="A104" i="2"/>
  <c r="A105" i="2"/>
  <c r="A106" i="2"/>
  <c r="A107" i="2"/>
  <c r="A108" i="2"/>
  <c r="A109" i="2"/>
  <c r="A110" i="2"/>
  <c r="A88" i="2"/>
  <c r="AL88" i="2"/>
  <c r="AM88" i="2"/>
  <c r="AL89" i="2"/>
  <c r="AM89" i="2"/>
  <c r="AL90" i="2"/>
  <c r="AM90" i="2"/>
  <c r="AL91" i="2"/>
  <c r="AM91" i="2"/>
  <c r="AL92" i="2"/>
  <c r="AM92" i="2"/>
  <c r="AL93" i="2"/>
  <c r="AM93" i="2"/>
  <c r="AL94" i="2"/>
  <c r="AM94" i="2"/>
  <c r="AL95" i="2"/>
  <c r="AM95" i="2"/>
  <c r="AL96" i="2"/>
  <c r="AM96" i="2"/>
  <c r="AL97" i="2"/>
  <c r="AM97" i="2"/>
  <c r="AK89" i="2"/>
  <c r="AK90" i="2"/>
  <c r="AK91" i="2"/>
  <c r="AK92" i="2"/>
  <c r="AK93" i="2"/>
  <c r="AK94" i="2"/>
  <c r="AK95" i="2"/>
  <c r="AK96" i="2"/>
  <c r="AK97" i="2"/>
  <c r="AK88" i="2"/>
  <c r="AH88" i="2"/>
  <c r="AI88" i="2"/>
  <c r="AH89" i="2"/>
  <c r="AI89" i="2"/>
  <c r="AH90" i="2"/>
  <c r="AI90" i="2"/>
  <c r="AH91" i="2"/>
  <c r="AI91" i="2"/>
  <c r="AH92" i="2"/>
  <c r="AI92" i="2"/>
  <c r="AH93" i="2"/>
  <c r="AI93" i="2"/>
  <c r="AH94" i="2"/>
  <c r="AI94" i="2"/>
  <c r="AH95" i="2"/>
  <c r="AI95" i="2"/>
  <c r="AH96" i="2"/>
  <c r="AI96" i="2"/>
  <c r="AH97" i="2"/>
  <c r="AI97" i="2"/>
  <c r="AG89" i="2"/>
  <c r="AG90" i="2"/>
  <c r="AG91" i="2"/>
  <c r="AG92" i="2"/>
  <c r="AG93" i="2"/>
  <c r="AG94" i="2"/>
  <c r="AG95" i="2"/>
  <c r="AG96" i="2"/>
  <c r="AG97" i="2"/>
  <c r="AG88" i="2"/>
  <c r="AD88" i="2"/>
  <c r="AE88" i="2"/>
  <c r="AD89" i="2"/>
  <c r="AE89" i="2"/>
  <c r="AD90" i="2"/>
  <c r="AE90" i="2"/>
  <c r="AD91" i="2"/>
  <c r="AE91" i="2"/>
  <c r="AD92" i="2"/>
  <c r="AE92" i="2"/>
  <c r="AD93" i="2"/>
  <c r="AE93" i="2"/>
  <c r="AD94" i="2"/>
  <c r="AE94" i="2"/>
  <c r="AD95" i="2"/>
  <c r="AE95" i="2"/>
  <c r="AD96" i="2"/>
  <c r="AE96" i="2"/>
  <c r="AD97" i="2"/>
  <c r="AE97" i="2"/>
  <c r="AC89" i="2"/>
  <c r="AC90" i="2"/>
  <c r="AC91" i="2"/>
  <c r="AC92" i="2"/>
  <c r="AC93" i="2"/>
  <c r="AC94" i="2"/>
  <c r="AC95" i="2"/>
  <c r="AC96" i="2"/>
  <c r="AC97" i="2"/>
  <c r="AC88" i="2"/>
  <c r="Z88" i="2"/>
  <c r="AA88" i="2"/>
  <c r="Z89" i="2"/>
  <c r="AA89" i="2"/>
  <c r="Z90" i="2"/>
  <c r="AA90" i="2"/>
  <c r="Z91" i="2"/>
  <c r="AA91" i="2"/>
  <c r="Z92" i="2"/>
  <c r="AA92" i="2"/>
  <c r="Z93" i="2"/>
  <c r="AA93" i="2"/>
  <c r="Z94" i="2"/>
  <c r="AA94" i="2"/>
  <c r="Z95" i="2"/>
  <c r="AA95" i="2"/>
  <c r="Z96" i="2"/>
  <c r="AA96" i="2"/>
  <c r="Z97" i="2"/>
  <c r="AA97" i="2"/>
  <c r="Y89" i="2"/>
  <c r="Y90" i="2"/>
  <c r="Y91" i="2"/>
  <c r="Y92" i="2"/>
  <c r="Y93" i="2"/>
  <c r="Y94" i="2"/>
  <c r="Y95" i="2"/>
  <c r="Y96" i="2"/>
  <c r="Y97" i="2"/>
  <c r="Y88" i="2"/>
  <c r="V88" i="2"/>
  <c r="W88" i="2"/>
  <c r="V89" i="2"/>
  <c r="W89" i="2"/>
  <c r="V90" i="2"/>
  <c r="W90" i="2"/>
  <c r="V91" i="2"/>
  <c r="W91" i="2"/>
  <c r="V92" i="2"/>
  <c r="W92" i="2"/>
  <c r="V93" i="2"/>
  <c r="W93" i="2"/>
  <c r="V94" i="2"/>
  <c r="W94" i="2"/>
  <c r="V95" i="2"/>
  <c r="W95" i="2"/>
  <c r="V96" i="2"/>
  <c r="W96" i="2"/>
  <c r="V97" i="2"/>
  <c r="W97" i="2"/>
  <c r="U89" i="2"/>
  <c r="U90" i="2"/>
  <c r="U91" i="2"/>
  <c r="U92" i="2"/>
  <c r="U93" i="2"/>
  <c r="U94" i="2"/>
  <c r="U95" i="2"/>
  <c r="U96" i="2"/>
  <c r="U97" i="2"/>
  <c r="U88" i="2"/>
  <c r="Q88" i="2"/>
  <c r="R88" i="2"/>
  <c r="S88" i="2"/>
  <c r="R89" i="2"/>
  <c r="S89" i="2"/>
  <c r="R90" i="2"/>
  <c r="S90" i="2"/>
  <c r="R91" i="2"/>
  <c r="S91" i="2"/>
  <c r="R92" i="2"/>
  <c r="S92" i="2"/>
  <c r="R93" i="2"/>
  <c r="S93" i="2"/>
  <c r="R94" i="2"/>
  <c r="S94" i="2"/>
  <c r="R95" i="2"/>
  <c r="S95" i="2"/>
  <c r="R96" i="2"/>
  <c r="S96" i="2"/>
  <c r="R97" i="2"/>
  <c r="S97" i="2"/>
  <c r="Q89" i="2"/>
  <c r="Q90" i="2"/>
  <c r="Q91" i="2"/>
  <c r="Q92" i="2"/>
  <c r="Q93" i="2"/>
  <c r="Q94" i="2"/>
  <c r="Q95" i="2"/>
  <c r="Q96" i="2"/>
  <c r="Q9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M89" i="2"/>
  <c r="M90" i="2"/>
  <c r="M91" i="2"/>
  <c r="M92" i="2"/>
  <c r="M93" i="2"/>
  <c r="M94" i="2"/>
  <c r="M95" i="2"/>
  <c r="M96" i="2"/>
  <c r="M97" i="2"/>
  <c r="M88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I89" i="2"/>
  <c r="I90" i="2"/>
  <c r="I91" i="2"/>
  <c r="I92" i="2"/>
  <c r="I93" i="2"/>
  <c r="I94" i="2"/>
  <c r="I95" i="2"/>
  <c r="I96" i="2"/>
  <c r="I97" i="2"/>
  <c r="I88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E89" i="2"/>
  <c r="E90" i="2"/>
  <c r="E91" i="2"/>
  <c r="E92" i="2"/>
  <c r="E93" i="2"/>
  <c r="E94" i="2"/>
  <c r="E95" i="2"/>
  <c r="E96" i="2"/>
  <c r="E97" i="2"/>
  <c r="E88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A89" i="2"/>
  <c r="A90" i="2"/>
  <c r="A91" i="2"/>
  <c r="A92" i="2"/>
  <c r="A93" i="2"/>
  <c r="A94" i="2"/>
  <c r="A95" i="2"/>
  <c r="A96" i="2"/>
  <c r="A97" i="2"/>
  <c r="A75" i="2"/>
  <c r="D75" i="2"/>
  <c r="AU75" i="2"/>
  <c r="AV75" i="2"/>
  <c r="AW75" i="2"/>
  <c r="AU76" i="2"/>
  <c r="AV76" i="2"/>
  <c r="AW76" i="2"/>
  <c r="AU77" i="2"/>
  <c r="AV77" i="2"/>
  <c r="AW77" i="2"/>
  <c r="AU78" i="2"/>
  <c r="AV78" i="2"/>
  <c r="AW78" i="2"/>
  <c r="AU79" i="2"/>
  <c r="AV79" i="2"/>
  <c r="AW79" i="2"/>
  <c r="AU80" i="2"/>
  <c r="AV80" i="2"/>
  <c r="AW80" i="2"/>
  <c r="AU81" i="2"/>
  <c r="AV81" i="2"/>
  <c r="AW81" i="2"/>
  <c r="AU82" i="2"/>
  <c r="AV82" i="2"/>
  <c r="AW82" i="2"/>
  <c r="AU83" i="2"/>
  <c r="AV83" i="2"/>
  <c r="AW83" i="2"/>
  <c r="AU84" i="2"/>
  <c r="AV84" i="2"/>
  <c r="AW84" i="2"/>
  <c r="AT76" i="2"/>
  <c r="AT77" i="2"/>
  <c r="AT78" i="2"/>
  <c r="AT79" i="2"/>
  <c r="AT80" i="2"/>
  <c r="AT81" i="2"/>
  <c r="AT82" i="2"/>
  <c r="AT83" i="2"/>
  <c r="AT84" i="2"/>
  <c r="AT75" i="2"/>
  <c r="AP75" i="2"/>
  <c r="AQ75" i="2"/>
  <c r="AR75" i="2"/>
  <c r="AP76" i="2"/>
  <c r="AQ76" i="2"/>
  <c r="AR76" i="2"/>
  <c r="AP77" i="2"/>
  <c r="AQ77" i="2"/>
  <c r="AR77" i="2"/>
  <c r="AP78" i="2"/>
  <c r="AQ78" i="2"/>
  <c r="AR78" i="2"/>
  <c r="AP79" i="2"/>
  <c r="AQ79" i="2"/>
  <c r="AR79" i="2"/>
  <c r="AP80" i="2"/>
  <c r="AQ80" i="2"/>
  <c r="AR80" i="2"/>
  <c r="AP81" i="2"/>
  <c r="AQ81" i="2"/>
  <c r="AR81" i="2"/>
  <c r="AP82" i="2"/>
  <c r="AQ82" i="2"/>
  <c r="AR82" i="2"/>
  <c r="AP83" i="2"/>
  <c r="AQ83" i="2"/>
  <c r="AR83" i="2"/>
  <c r="AP84" i="2"/>
  <c r="AQ84" i="2"/>
  <c r="AR84" i="2"/>
  <c r="AO76" i="2"/>
  <c r="AO77" i="2"/>
  <c r="AO78" i="2"/>
  <c r="AO79" i="2"/>
  <c r="AO80" i="2"/>
  <c r="AO81" i="2"/>
  <c r="AO82" i="2"/>
  <c r="AO83" i="2"/>
  <c r="AO84" i="2"/>
  <c r="AO75" i="2"/>
  <c r="AK75" i="2"/>
  <c r="AL75" i="2"/>
  <c r="AM75" i="2"/>
  <c r="AK76" i="2"/>
  <c r="AL76" i="2"/>
  <c r="AM76" i="2"/>
  <c r="AK77" i="2"/>
  <c r="AL77" i="2"/>
  <c r="AM77" i="2"/>
  <c r="AK78" i="2"/>
  <c r="AL78" i="2"/>
  <c r="AM78" i="2"/>
  <c r="AK79" i="2"/>
  <c r="AL79" i="2"/>
  <c r="AM79" i="2"/>
  <c r="AK80" i="2"/>
  <c r="AL80" i="2"/>
  <c r="AM80" i="2"/>
  <c r="AK81" i="2"/>
  <c r="AL81" i="2"/>
  <c r="AM81" i="2"/>
  <c r="AK82" i="2"/>
  <c r="AL82" i="2"/>
  <c r="AM82" i="2"/>
  <c r="AK83" i="2"/>
  <c r="AL83" i="2"/>
  <c r="AM83" i="2"/>
  <c r="AK84" i="2"/>
  <c r="AL84" i="2"/>
  <c r="AM84" i="2"/>
  <c r="AJ76" i="2"/>
  <c r="AJ77" i="2"/>
  <c r="AJ78" i="2"/>
  <c r="AJ79" i="2"/>
  <c r="AJ80" i="2"/>
  <c r="AJ81" i="2"/>
  <c r="AJ82" i="2"/>
  <c r="AJ83" i="2"/>
  <c r="AJ84" i="2"/>
  <c r="AJ75" i="2"/>
  <c r="AF75" i="2"/>
  <c r="AG75" i="2"/>
  <c r="AH75" i="2"/>
  <c r="AF76" i="2"/>
  <c r="AG76" i="2"/>
  <c r="AH76" i="2"/>
  <c r="AF77" i="2"/>
  <c r="AG77" i="2"/>
  <c r="AH77" i="2"/>
  <c r="AF78" i="2"/>
  <c r="AG78" i="2"/>
  <c r="AH78" i="2"/>
  <c r="AF79" i="2"/>
  <c r="AG79" i="2"/>
  <c r="AH79" i="2"/>
  <c r="AF80" i="2"/>
  <c r="AG80" i="2"/>
  <c r="AH80" i="2"/>
  <c r="AF81" i="2"/>
  <c r="AG81" i="2"/>
  <c r="AH81" i="2"/>
  <c r="AF82" i="2"/>
  <c r="AG82" i="2"/>
  <c r="AH82" i="2"/>
  <c r="AF83" i="2"/>
  <c r="AG83" i="2"/>
  <c r="AH83" i="2"/>
  <c r="AF84" i="2"/>
  <c r="AG84" i="2"/>
  <c r="AH84" i="2"/>
  <c r="AE76" i="2"/>
  <c r="AE77" i="2"/>
  <c r="AE78" i="2"/>
  <c r="AE79" i="2"/>
  <c r="AE80" i="2"/>
  <c r="AE81" i="2"/>
  <c r="AE82" i="2"/>
  <c r="AE83" i="2"/>
  <c r="AE84" i="2"/>
  <c r="AE75" i="2"/>
  <c r="AA75" i="2"/>
  <c r="AB75" i="2"/>
  <c r="AC75" i="2"/>
  <c r="AA76" i="2"/>
  <c r="AB76" i="2"/>
  <c r="AC76" i="2"/>
  <c r="AA77" i="2"/>
  <c r="AB77" i="2"/>
  <c r="AC77" i="2"/>
  <c r="AA78" i="2"/>
  <c r="AB78" i="2"/>
  <c r="AC78" i="2"/>
  <c r="AA79" i="2"/>
  <c r="AB79" i="2"/>
  <c r="AC79" i="2"/>
  <c r="AA80" i="2"/>
  <c r="AB80" i="2"/>
  <c r="AC80" i="2"/>
  <c r="AA81" i="2"/>
  <c r="AB81" i="2"/>
  <c r="AC81" i="2"/>
  <c r="AA82" i="2"/>
  <c r="AB82" i="2"/>
  <c r="AC82" i="2"/>
  <c r="AA83" i="2"/>
  <c r="AB83" i="2"/>
  <c r="AC83" i="2"/>
  <c r="AA84" i="2"/>
  <c r="AB84" i="2"/>
  <c r="AC84" i="2"/>
  <c r="Z76" i="2"/>
  <c r="Z77" i="2"/>
  <c r="Z78" i="2"/>
  <c r="Z79" i="2"/>
  <c r="Z80" i="2"/>
  <c r="Z81" i="2"/>
  <c r="Z82" i="2"/>
  <c r="Z83" i="2"/>
  <c r="Z84" i="2"/>
  <c r="Z75" i="2"/>
  <c r="U75" i="2"/>
  <c r="V75" i="2"/>
  <c r="W75" i="2"/>
  <c r="X75" i="2"/>
  <c r="V76" i="2"/>
  <c r="W76" i="2"/>
  <c r="X76" i="2"/>
  <c r="V77" i="2"/>
  <c r="W77" i="2"/>
  <c r="X77" i="2"/>
  <c r="V78" i="2"/>
  <c r="W78" i="2"/>
  <c r="X78" i="2"/>
  <c r="V79" i="2"/>
  <c r="W79" i="2"/>
  <c r="X79" i="2"/>
  <c r="V80" i="2"/>
  <c r="W80" i="2"/>
  <c r="X80" i="2"/>
  <c r="V81" i="2"/>
  <c r="W81" i="2"/>
  <c r="X81" i="2"/>
  <c r="V82" i="2"/>
  <c r="W82" i="2"/>
  <c r="X82" i="2"/>
  <c r="V83" i="2"/>
  <c r="W83" i="2"/>
  <c r="X83" i="2"/>
  <c r="V84" i="2"/>
  <c r="W84" i="2"/>
  <c r="X84" i="2"/>
  <c r="U76" i="2"/>
  <c r="U77" i="2"/>
  <c r="U78" i="2"/>
  <c r="U79" i="2"/>
  <c r="U80" i="2"/>
  <c r="U81" i="2"/>
  <c r="U82" i="2"/>
  <c r="U83" i="2"/>
  <c r="U84" i="2"/>
  <c r="Q75" i="2"/>
  <c r="R75" i="2"/>
  <c r="S75" i="2"/>
  <c r="Q76" i="2"/>
  <c r="R76" i="2"/>
  <c r="S76" i="2"/>
  <c r="Q77" i="2"/>
  <c r="R77" i="2"/>
  <c r="S77" i="2"/>
  <c r="Q78" i="2"/>
  <c r="R78" i="2"/>
  <c r="S78" i="2"/>
  <c r="Q79" i="2"/>
  <c r="R79" i="2"/>
  <c r="S79" i="2"/>
  <c r="Q80" i="2"/>
  <c r="R80" i="2"/>
  <c r="S80" i="2"/>
  <c r="Q81" i="2"/>
  <c r="R81" i="2"/>
  <c r="S81" i="2"/>
  <c r="Q82" i="2"/>
  <c r="R82" i="2"/>
  <c r="S82" i="2"/>
  <c r="Q83" i="2"/>
  <c r="R83" i="2"/>
  <c r="S83" i="2"/>
  <c r="Q84" i="2"/>
  <c r="R84" i="2"/>
  <c r="S84" i="2"/>
  <c r="P76" i="2"/>
  <c r="P77" i="2"/>
  <c r="P78" i="2"/>
  <c r="P79" i="2"/>
  <c r="P80" i="2"/>
  <c r="P81" i="2"/>
  <c r="P82" i="2"/>
  <c r="P83" i="2"/>
  <c r="P84" i="2"/>
  <c r="P75" i="2"/>
  <c r="L75" i="2"/>
  <c r="M75" i="2"/>
  <c r="N75" i="2"/>
  <c r="L76" i="2"/>
  <c r="M76" i="2"/>
  <c r="N76" i="2"/>
  <c r="L77" i="2"/>
  <c r="M77" i="2"/>
  <c r="N77" i="2"/>
  <c r="L78" i="2"/>
  <c r="M78" i="2"/>
  <c r="N78" i="2"/>
  <c r="L79" i="2"/>
  <c r="M79" i="2"/>
  <c r="N79" i="2"/>
  <c r="L80" i="2"/>
  <c r="M80" i="2"/>
  <c r="N80" i="2"/>
  <c r="L81" i="2"/>
  <c r="M81" i="2"/>
  <c r="N81" i="2"/>
  <c r="L82" i="2"/>
  <c r="M82" i="2"/>
  <c r="N82" i="2"/>
  <c r="L83" i="2"/>
  <c r="M83" i="2"/>
  <c r="N83" i="2"/>
  <c r="L84" i="2"/>
  <c r="M84" i="2"/>
  <c r="N84" i="2"/>
  <c r="K76" i="2"/>
  <c r="K77" i="2"/>
  <c r="K78" i="2"/>
  <c r="K79" i="2"/>
  <c r="K80" i="2"/>
  <c r="K81" i="2"/>
  <c r="K82" i="2"/>
  <c r="K83" i="2"/>
  <c r="K84" i="2"/>
  <c r="K75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F76" i="2"/>
  <c r="F77" i="2"/>
  <c r="F78" i="2"/>
  <c r="F79" i="2"/>
  <c r="F80" i="2"/>
  <c r="F81" i="2"/>
  <c r="F82" i="2"/>
  <c r="F83" i="2"/>
  <c r="F84" i="2"/>
  <c r="F75" i="2"/>
  <c r="B75" i="2"/>
  <c r="C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A76" i="2"/>
  <c r="A77" i="2"/>
  <c r="A78" i="2"/>
  <c r="A79" i="2"/>
  <c r="A80" i="2"/>
  <c r="A81" i="2"/>
  <c r="A82" i="2"/>
  <c r="A83" i="2"/>
  <c r="A84" i="2"/>
  <c r="BD62" i="2"/>
  <c r="BE62" i="2"/>
  <c r="BF62" i="2"/>
  <c r="BG62" i="2"/>
  <c r="BD63" i="2"/>
  <c r="BE63" i="2"/>
  <c r="BF63" i="2"/>
  <c r="BG63" i="2"/>
  <c r="BD64" i="2"/>
  <c r="BE64" i="2"/>
  <c r="BF64" i="2"/>
  <c r="BG64" i="2"/>
  <c r="BD65" i="2"/>
  <c r="BE65" i="2"/>
  <c r="BF65" i="2"/>
  <c r="BG65" i="2"/>
  <c r="BD66" i="2"/>
  <c r="BE66" i="2"/>
  <c r="BF66" i="2"/>
  <c r="BG66" i="2"/>
  <c r="BD67" i="2"/>
  <c r="BE67" i="2"/>
  <c r="BF67" i="2"/>
  <c r="BG67" i="2"/>
  <c r="BD68" i="2"/>
  <c r="BE68" i="2"/>
  <c r="BF68" i="2"/>
  <c r="BG68" i="2"/>
  <c r="BD69" i="2"/>
  <c r="BE69" i="2"/>
  <c r="BF69" i="2"/>
  <c r="BG69" i="2"/>
  <c r="BD70" i="2"/>
  <c r="BE70" i="2"/>
  <c r="BF70" i="2"/>
  <c r="BG70" i="2"/>
  <c r="BD71" i="2"/>
  <c r="BE71" i="2"/>
  <c r="BF71" i="2"/>
  <c r="BG71" i="2"/>
  <c r="BC63" i="2"/>
  <c r="BC64" i="2"/>
  <c r="BC65" i="2"/>
  <c r="BC66" i="2"/>
  <c r="BC67" i="2"/>
  <c r="BC68" i="2"/>
  <c r="BC69" i="2"/>
  <c r="BC70" i="2"/>
  <c r="BC71" i="2"/>
  <c r="BC62" i="2"/>
  <c r="AX62" i="2"/>
  <c r="AY62" i="2"/>
  <c r="AZ62" i="2"/>
  <c r="BA62" i="2"/>
  <c r="AX63" i="2"/>
  <c r="AY63" i="2"/>
  <c r="AZ63" i="2"/>
  <c r="BA63" i="2"/>
  <c r="AX64" i="2"/>
  <c r="AY64" i="2"/>
  <c r="AZ64" i="2"/>
  <c r="BA64" i="2"/>
  <c r="AX65" i="2"/>
  <c r="AY65" i="2"/>
  <c r="AZ65" i="2"/>
  <c r="BA65" i="2"/>
  <c r="AX66" i="2"/>
  <c r="AY66" i="2"/>
  <c r="AZ66" i="2"/>
  <c r="BA66" i="2"/>
  <c r="AX67" i="2"/>
  <c r="AY67" i="2"/>
  <c r="AZ67" i="2"/>
  <c r="BA67" i="2"/>
  <c r="AX68" i="2"/>
  <c r="AY68" i="2"/>
  <c r="AZ68" i="2"/>
  <c r="BA68" i="2"/>
  <c r="AX69" i="2"/>
  <c r="AY69" i="2"/>
  <c r="AZ69" i="2"/>
  <c r="BA69" i="2"/>
  <c r="AX70" i="2"/>
  <c r="AY70" i="2"/>
  <c r="AZ70" i="2"/>
  <c r="BA70" i="2"/>
  <c r="AX71" i="2"/>
  <c r="AY71" i="2"/>
  <c r="AZ71" i="2"/>
  <c r="BA71" i="2"/>
  <c r="AW63" i="2"/>
  <c r="AW64" i="2"/>
  <c r="AW65" i="2"/>
  <c r="AW66" i="2"/>
  <c r="AW67" i="2"/>
  <c r="AW68" i="2"/>
  <c r="AW69" i="2"/>
  <c r="AW70" i="2"/>
  <c r="AW71" i="2"/>
  <c r="AW62" i="2"/>
  <c r="AR62" i="2"/>
  <c r="AS62" i="2"/>
  <c r="AT62" i="2"/>
  <c r="AU62" i="2"/>
  <c r="AR63" i="2"/>
  <c r="AS63" i="2"/>
  <c r="AT63" i="2"/>
  <c r="AU63" i="2"/>
  <c r="AR64" i="2"/>
  <c r="AS64" i="2"/>
  <c r="AT64" i="2"/>
  <c r="AU64" i="2"/>
  <c r="AR65" i="2"/>
  <c r="AS65" i="2"/>
  <c r="AT65" i="2"/>
  <c r="AU65" i="2"/>
  <c r="AR66" i="2"/>
  <c r="AS66" i="2"/>
  <c r="AT66" i="2"/>
  <c r="AU66" i="2"/>
  <c r="AR67" i="2"/>
  <c r="AS67" i="2"/>
  <c r="AT67" i="2"/>
  <c r="AU67" i="2"/>
  <c r="AR68" i="2"/>
  <c r="AS68" i="2"/>
  <c r="AT68" i="2"/>
  <c r="AU68" i="2"/>
  <c r="AR69" i="2"/>
  <c r="AS69" i="2"/>
  <c r="AT69" i="2"/>
  <c r="AU69" i="2"/>
  <c r="AR70" i="2"/>
  <c r="AS70" i="2"/>
  <c r="AT70" i="2"/>
  <c r="AU70" i="2"/>
  <c r="AR71" i="2"/>
  <c r="AS71" i="2"/>
  <c r="AT71" i="2"/>
  <c r="AU71" i="2"/>
  <c r="AQ63" i="2"/>
  <c r="AQ64" i="2"/>
  <c r="AQ65" i="2"/>
  <c r="AQ66" i="2"/>
  <c r="AQ67" i="2"/>
  <c r="AQ68" i="2"/>
  <c r="AQ69" i="2"/>
  <c r="AQ70" i="2"/>
  <c r="AQ71" i="2"/>
  <c r="AQ62" i="2"/>
  <c r="AL62" i="2"/>
  <c r="AM62" i="2"/>
  <c r="AN62" i="2"/>
  <c r="AO62" i="2"/>
  <c r="AL63" i="2"/>
  <c r="AM63" i="2"/>
  <c r="AN63" i="2"/>
  <c r="AO63" i="2"/>
  <c r="AL64" i="2"/>
  <c r="AM64" i="2"/>
  <c r="AN64" i="2"/>
  <c r="AO64" i="2"/>
  <c r="AL65" i="2"/>
  <c r="AM65" i="2"/>
  <c r="AN65" i="2"/>
  <c r="AO65" i="2"/>
  <c r="AL66" i="2"/>
  <c r="AM66" i="2"/>
  <c r="AN66" i="2"/>
  <c r="AO66" i="2"/>
  <c r="AL67" i="2"/>
  <c r="AM67" i="2"/>
  <c r="AN67" i="2"/>
  <c r="AO67" i="2"/>
  <c r="AL68" i="2"/>
  <c r="AM68" i="2"/>
  <c r="AN68" i="2"/>
  <c r="AO68" i="2"/>
  <c r="AL69" i="2"/>
  <c r="AM69" i="2"/>
  <c r="AN69" i="2"/>
  <c r="AO69" i="2"/>
  <c r="AL70" i="2"/>
  <c r="AM70" i="2"/>
  <c r="AN70" i="2"/>
  <c r="AO70" i="2"/>
  <c r="AL71" i="2"/>
  <c r="AM71" i="2"/>
  <c r="AN71" i="2"/>
  <c r="AO71" i="2"/>
  <c r="AK63" i="2"/>
  <c r="AK64" i="2"/>
  <c r="AK65" i="2"/>
  <c r="AK66" i="2"/>
  <c r="AK67" i="2"/>
  <c r="AK68" i="2"/>
  <c r="AK69" i="2"/>
  <c r="AK70" i="2"/>
  <c r="AK71" i="2"/>
  <c r="AK62" i="2"/>
  <c r="AF62" i="2"/>
  <c r="AG62" i="2"/>
  <c r="AH62" i="2"/>
  <c r="AI62" i="2"/>
  <c r="AF63" i="2"/>
  <c r="AG63" i="2"/>
  <c r="AH63" i="2"/>
  <c r="AI63" i="2"/>
  <c r="AF64" i="2"/>
  <c r="AG64" i="2"/>
  <c r="AH64" i="2"/>
  <c r="AI64" i="2"/>
  <c r="AF65" i="2"/>
  <c r="AG65" i="2"/>
  <c r="AH65" i="2"/>
  <c r="AI65" i="2"/>
  <c r="AF66" i="2"/>
  <c r="AG66" i="2"/>
  <c r="AH66" i="2"/>
  <c r="AI66" i="2"/>
  <c r="AF67" i="2"/>
  <c r="AG67" i="2"/>
  <c r="AH67" i="2"/>
  <c r="AI67" i="2"/>
  <c r="AF68" i="2"/>
  <c r="AG68" i="2"/>
  <c r="AH68" i="2"/>
  <c r="AI68" i="2"/>
  <c r="AF69" i="2"/>
  <c r="AG69" i="2"/>
  <c r="AH69" i="2"/>
  <c r="AI69" i="2"/>
  <c r="AF70" i="2"/>
  <c r="AG70" i="2"/>
  <c r="AH70" i="2"/>
  <c r="AI70" i="2"/>
  <c r="AF71" i="2"/>
  <c r="AG71" i="2"/>
  <c r="AH71" i="2"/>
  <c r="AI71" i="2"/>
  <c r="AE63" i="2"/>
  <c r="AE64" i="2"/>
  <c r="AE65" i="2"/>
  <c r="AE66" i="2"/>
  <c r="AE67" i="2"/>
  <c r="AE68" i="2"/>
  <c r="AE69" i="2"/>
  <c r="AE70" i="2"/>
  <c r="AE71" i="2"/>
  <c r="AE62" i="2"/>
  <c r="Y62" i="2"/>
  <c r="Z62" i="2"/>
  <c r="AA62" i="2"/>
  <c r="AB62" i="2"/>
  <c r="AC62" i="2"/>
  <c r="Z63" i="2"/>
  <c r="AA63" i="2"/>
  <c r="AB63" i="2"/>
  <c r="AC63" i="2"/>
  <c r="Z64" i="2"/>
  <c r="AA64" i="2"/>
  <c r="AB64" i="2"/>
  <c r="AC64" i="2"/>
  <c r="Z65" i="2"/>
  <c r="AA65" i="2"/>
  <c r="AB65" i="2"/>
  <c r="AC65" i="2"/>
  <c r="Z66" i="2"/>
  <c r="AA66" i="2"/>
  <c r="AB66" i="2"/>
  <c r="AC66" i="2"/>
  <c r="Z67" i="2"/>
  <c r="AA67" i="2"/>
  <c r="AB67" i="2"/>
  <c r="AC67" i="2"/>
  <c r="Z68" i="2"/>
  <c r="AA68" i="2"/>
  <c r="AB68" i="2"/>
  <c r="AC68" i="2"/>
  <c r="Z69" i="2"/>
  <c r="AA69" i="2"/>
  <c r="AB69" i="2"/>
  <c r="AC69" i="2"/>
  <c r="Z70" i="2"/>
  <c r="AA70" i="2"/>
  <c r="AB70" i="2"/>
  <c r="AC70" i="2"/>
  <c r="Z71" i="2"/>
  <c r="AA71" i="2"/>
  <c r="AB71" i="2"/>
  <c r="AC71" i="2"/>
  <c r="Y63" i="2"/>
  <c r="Y64" i="2"/>
  <c r="Y65" i="2"/>
  <c r="Y66" i="2"/>
  <c r="Y67" i="2"/>
  <c r="Y68" i="2"/>
  <c r="Y69" i="2"/>
  <c r="Y70" i="2"/>
  <c r="Y71" i="2"/>
  <c r="T62" i="2"/>
  <c r="U62" i="2"/>
  <c r="V62" i="2"/>
  <c r="W62" i="2"/>
  <c r="T63" i="2"/>
  <c r="U63" i="2"/>
  <c r="V63" i="2"/>
  <c r="W63" i="2"/>
  <c r="T64" i="2"/>
  <c r="U64" i="2"/>
  <c r="V64" i="2"/>
  <c r="W64" i="2"/>
  <c r="T65" i="2"/>
  <c r="U65" i="2"/>
  <c r="V65" i="2"/>
  <c r="W65" i="2"/>
  <c r="T66" i="2"/>
  <c r="U66" i="2"/>
  <c r="V66" i="2"/>
  <c r="W66" i="2"/>
  <c r="T67" i="2"/>
  <c r="U67" i="2"/>
  <c r="V67" i="2"/>
  <c r="W67" i="2"/>
  <c r="T68" i="2"/>
  <c r="U68" i="2"/>
  <c r="V68" i="2"/>
  <c r="W68" i="2"/>
  <c r="T69" i="2"/>
  <c r="U69" i="2"/>
  <c r="V69" i="2"/>
  <c r="W69" i="2"/>
  <c r="T70" i="2"/>
  <c r="U70" i="2"/>
  <c r="V70" i="2"/>
  <c r="W70" i="2"/>
  <c r="T71" i="2"/>
  <c r="U71" i="2"/>
  <c r="V71" i="2"/>
  <c r="W71" i="2"/>
  <c r="S63" i="2"/>
  <c r="S64" i="2"/>
  <c r="S65" i="2"/>
  <c r="S66" i="2"/>
  <c r="S67" i="2"/>
  <c r="S68" i="2"/>
  <c r="S69" i="2"/>
  <c r="S70" i="2"/>
  <c r="S71" i="2"/>
  <c r="S62" i="2"/>
  <c r="N62" i="2"/>
  <c r="O62" i="2"/>
  <c r="P62" i="2"/>
  <c r="Q62" i="2"/>
  <c r="N63" i="2"/>
  <c r="O63" i="2"/>
  <c r="P63" i="2"/>
  <c r="Q63" i="2"/>
  <c r="N64" i="2"/>
  <c r="O64" i="2"/>
  <c r="P64" i="2"/>
  <c r="Q64" i="2"/>
  <c r="N65" i="2"/>
  <c r="O65" i="2"/>
  <c r="P65" i="2"/>
  <c r="Q65" i="2"/>
  <c r="N66" i="2"/>
  <c r="O66" i="2"/>
  <c r="P66" i="2"/>
  <c r="Q66" i="2"/>
  <c r="N67" i="2"/>
  <c r="O67" i="2"/>
  <c r="P67" i="2"/>
  <c r="Q67" i="2"/>
  <c r="N68" i="2"/>
  <c r="O68" i="2"/>
  <c r="P68" i="2"/>
  <c r="Q68" i="2"/>
  <c r="N69" i="2"/>
  <c r="O69" i="2"/>
  <c r="P69" i="2"/>
  <c r="Q69" i="2"/>
  <c r="N70" i="2"/>
  <c r="O70" i="2"/>
  <c r="P70" i="2"/>
  <c r="Q70" i="2"/>
  <c r="N71" i="2"/>
  <c r="O71" i="2"/>
  <c r="P71" i="2"/>
  <c r="Q71" i="2"/>
  <c r="M63" i="2"/>
  <c r="M64" i="2"/>
  <c r="M65" i="2"/>
  <c r="M66" i="2"/>
  <c r="M67" i="2"/>
  <c r="M68" i="2"/>
  <c r="M69" i="2"/>
  <c r="M70" i="2"/>
  <c r="M71" i="2"/>
  <c r="M62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G63" i="2"/>
  <c r="G64" i="2"/>
  <c r="G65" i="2"/>
  <c r="G66" i="2"/>
  <c r="G67" i="2"/>
  <c r="G68" i="2"/>
  <c r="G69" i="2"/>
  <c r="G70" i="2"/>
  <c r="G71" i="2"/>
  <c r="G62" i="2"/>
  <c r="A62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A63" i="2"/>
  <c r="A64" i="2"/>
  <c r="A65" i="2"/>
  <c r="A66" i="2"/>
  <c r="A67" i="2"/>
  <c r="A68" i="2"/>
  <c r="A69" i="2"/>
  <c r="A70" i="2"/>
  <c r="A71" i="2"/>
  <c r="A49" i="2"/>
  <c r="BM49" i="2"/>
  <c r="BN49" i="2"/>
  <c r="BO49" i="2"/>
  <c r="BP49" i="2"/>
  <c r="BQ49" i="2"/>
  <c r="BM50" i="2"/>
  <c r="BN50" i="2"/>
  <c r="BO50" i="2"/>
  <c r="BP50" i="2"/>
  <c r="BQ50" i="2"/>
  <c r="BM51" i="2"/>
  <c r="BN51" i="2"/>
  <c r="BO51" i="2"/>
  <c r="BP51" i="2"/>
  <c r="BQ51" i="2"/>
  <c r="BM52" i="2"/>
  <c r="BN52" i="2"/>
  <c r="BO52" i="2"/>
  <c r="BP52" i="2"/>
  <c r="BQ52" i="2"/>
  <c r="BM53" i="2"/>
  <c r="BN53" i="2"/>
  <c r="BO53" i="2"/>
  <c r="BP53" i="2"/>
  <c r="BQ53" i="2"/>
  <c r="BM54" i="2"/>
  <c r="BN54" i="2"/>
  <c r="BO54" i="2"/>
  <c r="BP54" i="2"/>
  <c r="BQ54" i="2"/>
  <c r="BM55" i="2"/>
  <c r="BN55" i="2"/>
  <c r="BO55" i="2"/>
  <c r="BP55" i="2"/>
  <c r="BQ55" i="2"/>
  <c r="BM56" i="2"/>
  <c r="BN56" i="2"/>
  <c r="BO56" i="2"/>
  <c r="BP56" i="2"/>
  <c r="BQ56" i="2"/>
  <c r="BM57" i="2"/>
  <c r="BN57" i="2"/>
  <c r="BO57" i="2"/>
  <c r="BP57" i="2"/>
  <c r="BQ57" i="2"/>
  <c r="BM58" i="2"/>
  <c r="BN58" i="2"/>
  <c r="BO58" i="2"/>
  <c r="BP58" i="2"/>
  <c r="BQ58" i="2"/>
  <c r="BL50" i="2"/>
  <c r="BL51" i="2"/>
  <c r="BL52" i="2"/>
  <c r="BL53" i="2"/>
  <c r="BL54" i="2"/>
  <c r="BL55" i="2"/>
  <c r="BL56" i="2"/>
  <c r="BL57" i="2"/>
  <c r="BL58" i="2"/>
  <c r="BL49" i="2"/>
  <c r="BF49" i="2"/>
  <c r="BG49" i="2"/>
  <c r="BH49" i="2"/>
  <c r="BI49" i="2"/>
  <c r="BJ49" i="2"/>
  <c r="BF50" i="2"/>
  <c r="BG50" i="2"/>
  <c r="BH50" i="2"/>
  <c r="BI50" i="2"/>
  <c r="BJ50" i="2"/>
  <c r="BF51" i="2"/>
  <c r="BG51" i="2"/>
  <c r="BH51" i="2"/>
  <c r="BI51" i="2"/>
  <c r="BJ51" i="2"/>
  <c r="BF52" i="2"/>
  <c r="BG52" i="2"/>
  <c r="BH52" i="2"/>
  <c r="BI52" i="2"/>
  <c r="BJ52" i="2"/>
  <c r="BF53" i="2"/>
  <c r="BG53" i="2"/>
  <c r="BH53" i="2"/>
  <c r="BI53" i="2"/>
  <c r="BJ53" i="2"/>
  <c r="BF54" i="2"/>
  <c r="BG54" i="2"/>
  <c r="BH54" i="2"/>
  <c r="BI54" i="2"/>
  <c r="BJ54" i="2"/>
  <c r="BF55" i="2"/>
  <c r="BG55" i="2"/>
  <c r="BH55" i="2"/>
  <c r="BI55" i="2"/>
  <c r="BJ55" i="2"/>
  <c r="BF56" i="2"/>
  <c r="BG56" i="2"/>
  <c r="BH56" i="2"/>
  <c r="BI56" i="2"/>
  <c r="BJ56" i="2"/>
  <c r="BF57" i="2"/>
  <c r="BG57" i="2"/>
  <c r="BH57" i="2"/>
  <c r="BI57" i="2"/>
  <c r="BJ57" i="2"/>
  <c r="BF58" i="2"/>
  <c r="BG58" i="2"/>
  <c r="BH58" i="2"/>
  <c r="BI58" i="2"/>
  <c r="BJ58" i="2"/>
  <c r="BE50" i="2"/>
  <c r="BE51" i="2"/>
  <c r="BE52" i="2"/>
  <c r="BE53" i="2"/>
  <c r="BE54" i="2"/>
  <c r="BE55" i="2"/>
  <c r="BE56" i="2"/>
  <c r="BE57" i="2"/>
  <c r="BE58" i="2"/>
  <c r="BE49" i="2"/>
  <c r="AY49" i="2"/>
  <c r="AZ49" i="2"/>
  <c r="BA49" i="2"/>
  <c r="BB49" i="2"/>
  <c r="BC49" i="2"/>
  <c r="AY50" i="2"/>
  <c r="AZ50" i="2"/>
  <c r="BA50" i="2"/>
  <c r="BB50" i="2"/>
  <c r="BC50" i="2"/>
  <c r="AY51" i="2"/>
  <c r="AZ51" i="2"/>
  <c r="BA51" i="2"/>
  <c r="BB51" i="2"/>
  <c r="BC51" i="2"/>
  <c r="AY52" i="2"/>
  <c r="AZ52" i="2"/>
  <c r="BA52" i="2"/>
  <c r="BB52" i="2"/>
  <c r="BC52" i="2"/>
  <c r="AY53" i="2"/>
  <c r="AZ53" i="2"/>
  <c r="BA53" i="2"/>
  <c r="BB53" i="2"/>
  <c r="BC53" i="2"/>
  <c r="AY54" i="2"/>
  <c r="AZ54" i="2"/>
  <c r="BA54" i="2"/>
  <c r="BB54" i="2"/>
  <c r="BC54" i="2"/>
  <c r="AY55" i="2"/>
  <c r="AZ55" i="2"/>
  <c r="BA55" i="2"/>
  <c r="BB55" i="2"/>
  <c r="BC55" i="2"/>
  <c r="AY56" i="2"/>
  <c r="AZ56" i="2"/>
  <c r="BA56" i="2"/>
  <c r="BB56" i="2"/>
  <c r="BC56" i="2"/>
  <c r="AY57" i="2"/>
  <c r="AZ57" i="2"/>
  <c r="BA57" i="2"/>
  <c r="BB57" i="2"/>
  <c r="BC57" i="2"/>
  <c r="AY58" i="2"/>
  <c r="AZ58" i="2"/>
  <c r="BA58" i="2"/>
  <c r="BB58" i="2"/>
  <c r="BC58" i="2"/>
  <c r="AX50" i="2"/>
  <c r="AX51" i="2"/>
  <c r="AX52" i="2"/>
  <c r="AX53" i="2"/>
  <c r="AX54" i="2"/>
  <c r="AX55" i="2"/>
  <c r="AX56" i="2"/>
  <c r="AX57" i="2"/>
  <c r="AX58" i="2"/>
  <c r="AX49" i="2"/>
  <c r="AR49" i="2"/>
  <c r="AS49" i="2"/>
  <c r="AT49" i="2"/>
  <c r="AU49" i="2"/>
  <c r="AV49" i="2"/>
  <c r="AR50" i="2"/>
  <c r="AS50" i="2"/>
  <c r="AT50" i="2"/>
  <c r="AU50" i="2"/>
  <c r="AV50" i="2"/>
  <c r="AR51" i="2"/>
  <c r="AS51" i="2"/>
  <c r="AT51" i="2"/>
  <c r="AU51" i="2"/>
  <c r="AV51" i="2"/>
  <c r="AR52" i="2"/>
  <c r="AS52" i="2"/>
  <c r="AT52" i="2"/>
  <c r="AU52" i="2"/>
  <c r="AV52" i="2"/>
  <c r="AR53" i="2"/>
  <c r="AS53" i="2"/>
  <c r="AT53" i="2"/>
  <c r="AU53" i="2"/>
  <c r="AV53" i="2"/>
  <c r="AR54" i="2"/>
  <c r="AS54" i="2"/>
  <c r="AT54" i="2"/>
  <c r="AU54" i="2"/>
  <c r="AV54" i="2"/>
  <c r="AR55" i="2"/>
  <c r="AS55" i="2"/>
  <c r="AT55" i="2"/>
  <c r="AU55" i="2"/>
  <c r="AV55" i="2"/>
  <c r="AR56" i="2"/>
  <c r="AS56" i="2"/>
  <c r="AT56" i="2"/>
  <c r="AU56" i="2"/>
  <c r="AV56" i="2"/>
  <c r="AR57" i="2"/>
  <c r="AS57" i="2"/>
  <c r="AT57" i="2"/>
  <c r="AU57" i="2"/>
  <c r="AV57" i="2"/>
  <c r="AR58" i="2"/>
  <c r="AS58" i="2"/>
  <c r="AT58" i="2"/>
  <c r="AU58" i="2"/>
  <c r="AV58" i="2"/>
  <c r="AQ50" i="2"/>
  <c r="AQ51" i="2"/>
  <c r="AQ52" i="2"/>
  <c r="AQ53" i="2"/>
  <c r="AQ54" i="2"/>
  <c r="AQ55" i="2"/>
  <c r="AQ56" i="2"/>
  <c r="AQ57" i="2"/>
  <c r="AQ58" i="2"/>
  <c r="AQ49" i="2"/>
  <c r="AK49" i="2"/>
  <c r="AL49" i="2"/>
  <c r="AM49" i="2"/>
  <c r="AN49" i="2"/>
  <c r="AO49" i="2"/>
  <c r="AK50" i="2"/>
  <c r="AL50" i="2"/>
  <c r="AM50" i="2"/>
  <c r="AN50" i="2"/>
  <c r="AO50" i="2"/>
  <c r="AK51" i="2"/>
  <c r="AL51" i="2"/>
  <c r="AM51" i="2"/>
  <c r="AN51" i="2"/>
  <c r="AO51" i="2"/>
  <c r="AK52" i="2"/>
  <c r="AL52" i="2"/>
  <c r="AM52" i="2"/>
  <c r="AN52" i="2"/>
  <c r="AO52" i="2"/>
  <c r="AK53" i="2"/>
  <c r="AL53" i="2"/>
  <c r="AM53" i="2"/>
  <c r="AN53" i="2"/>
  <c r="AO53" i="2"/>
  <c r="AK54" i="2"/>
  <c r="AL54" i="2"/>
  <c r="AM54" i="2"/>
  <c r="AN54" i="2"/>
  <c r="AO54" i="2"/>
  <c r="AK55" i="2"/>
  <c r="AL55" i="2"/>
  <c r="AM55" i="2"/>
  <c r="AN55" i="2"/>
  <c r="AO55" i="2"/>
  <c r="AK56" i="2"/>
  <c r="AL56" i="2"/>
  <c r="AM56" i="2"/>
  <c r="AN56" i="2"/>
  <c r="AO56" i="2"/>
  <c r="AK57" i="2"/>
  <c r="AL57" i="2"/>
  <c r="AM57" i="2"/>
  <c r="AN57" i="2"/>
  <c r="AO57" i="2"/>
  <c r="AK58" i="2"/>
  <c r="AL58" i="2"/>
  <c r="AM58" i="2"/>
  <c r="AN58" i="2"/>
  <c r="AO58" i="2"/>
  <c r="AJ50" i="2"/>
  <c r="AJ51" i="2"/>
  <c r="AJ52" i="2"/>
  <c r="AJ53" i="2"/>
  <c r="AJ54" i="2"/>
  <c r="AJ55" i="2"/>
  <c r="AJ56" i="2"/>
  <c r="AJ57" i="2"/>
  <c r="AJ58" i="2"/>
  <c r="AJ49" i="2"/>
  <c r="AD49" i="2"/>
  <c r="AE49" i="2"/>
  <c r="AF49" i="2"/>
  <c r="AG49" i="2"/>
  <c r="AH49" i="2"/>
  <c r="AD50" i="2"/>
  <c r="AE50" i="2"/>
  <c r="AF50" i="2"/>
  <c r="AG50" i="2"/>
  <c r="AH50" i="2"/>
  <c r="AD51" i="2"/>
  <c r="AE51" i="2"/>
  <c r="AF51" i="2"/>
  <c r="AG51" i="2"/>
  <c r="AH51" i="2"/>
  <c r="AD52" i="2"/>
  <c r="AE52" i="2"/>
  <c r="AF52" i="2"/>
  <c r="AG52" i="2"/>
  <c r="AH52" i="2"/>
  <c r="AD53" i="2"/>
  <c r="AE53" i="2"/>
  <c r="AF53" i="2"/>
  <c r="AG53" i="2"/>
  <c r="AH53" i="2"/>
  <c r="AD54" i="2"/>
  <c r="AE54" i="2"/>
  <c r="AF54" i="2"/>
  <c r="AG54" i="2"/>
  <c r="AH54" i="2"/>
  <c r="AD55" i="2"/>
  <c r="AE55" i="2"/>
  <c r="AF55" i="2"/>
  <c r="AG55" i="2"/>
  <c r="AH55" i="2"/>
  <c r="AD56" i="2"/>
  <c r="AE56" i="2"/>
  <c r="AF56" i="2"/>
  <c r="AG56" i="2"/>
  <c r="AH56" i="2"/>
  <c r="AD57" i="2"/>
  <c r="AE57" i="2"/>
  <c r="AF57" i="2"/>
  <c r="AG57" i="2"/>
  <c r="AH57" i="2"/>
  <c r="AD58" i="2"/>
  <c r="AE58" i="2"/>
  <c r="AF58" i="2"/>
  <c r="AG58" i="2"/>
  <c r="AH58" i="2"/>
  <c r="AC50" i="2"/>
  <c r="AC51" i="2"/>
  <c r="AC52" i="2"/>
  <c r="AC53" i="2"/>
  <c r="AC54" i="2"/>
  <c r="AC55" i="2"/>
  <c r="AC56" i="2"/>
  <c r="AC57" i="2"/>
  <c r="AC58" i="2"/>
  <c r="AC49" i="2"/>
  <c r="W49" i="2"/>
  <c r="X49" i="2"/>
  <c r="Y49" i="2"/>
  <c r="Z49" i="2"/>
  <c r="AA49" i="2"/>
  <c r="W50" i="2"/>
  <c r="X50" i="2"/>
  <c r="Y50" i="2"/>
  <c r="Z50" i="2"/>
  <c r="AA50" i="2"/>
  <c r="W51" i="2"/>
  <c r="X51" i="2"/>
  <c r="Y51" i="2"/>
  <c r="Z51" i="2"/>
  <c r="AA51" i="2"/>
  <c r="W52" i="2"/>
  <c r="X52" i="2"/>
  <c r="Y52" i="2"/>
  <c r="Z52" i="2"/>
  <c r="AA52" i="2"/>
  <c r="W53" i="2"/>
  <c r="X53" i="2"/>
  <c r="Y53" i="2"/>
  <c r="Z53" i="2"/>
  <c r="AA53" i="2"/>
  <c r="W54" i="2"/>
  <c r="X54" i="2"/>
  <c r="Y54" i="2"/>
  <c r="Z54" i="2"/>
  <c r="AA54" i="2"/>
  <c r="W55" i="2"/>
  <c r="X55" i="2"/>
  <c r="Y55" i="2"/>
  <c r="Z55" i="2"/>
  <c r="AA55" i="2"/>
  <c r="W56" i="2"/>
  <c r="X56" i="2"/>
  <c r="Y56" i="2"/>
  <c r="Z56" i="2"/>
  <c r="AA56" i="2"/>
  <c r="W57" i="2"/>
  <c r="X57" i="2"/>
  <c r="Y57" i="2"/>
  <c r="Z57" i="2"/>
  <c r="AA57" i="2"/>
  <c r="W58" i="2"/>
  <c r="X58" i="2"/>
  <c r="Y58" i="2"/>
  <c r="Z58" i="2"/>
  <c r="AA58" i="2"/>
  <c r="V50" i="2"/>
  <c r="V51" i="2"/>
  <c r="V52" i="2"/>
  <c r="V53" i="2"/>
  <c r="V54" i="2"/>
  <c r="V55" i="2"/>
  <c r="V56" i="2"/>
  <c r="V57" i="2"/>
  <c r="V58" i="2"/>
  <c r="V49" i="2"/>
  <c r="P49" i="2"/>
  <c r="Q49" i="2"/>
  <c r="R49" i="2"/>
  <c r="S49" i="2"/>
  <c r="T49" i="2"/>
  <c r="P50" i="2"/>
  <c r="Q50" i="2"/>
  <c r="R50" i="2"/>
  <c r="S50" i="2"/>
  <c r="T50" i="2"/>
  <c r="P51" i="2"/>
  <c r="Q51" i="2"/>
  <c r="R51" i="2"/>
  <c r="S51" i="2"/>
  <c r="T51" i="2"/>
  <c r="P52" i="2"/>
  <c r="Q52" i="2"/>
  <c r="R52" i="2"/>
  <c r="S52" i="2"/>
  <c r="T52" i="2"/>
  <c r="P53" i="2"/>
  <c r="Q53" i="2"/>
  <c r="R53" i="2"/>
  <c r="S53" i="2"/>
  <c r="T53" i="2"/>
  <c r="P54" i="2"/>
  <c r="Q54" i="2"/>
  <c r="R54" i="2"/>
  <c r="S54" i="2"/>
  <c r="T54" i="2"/>
  <c r="P55" i="2"/>
  <c r="Q55" i="2"/>
  <c r="R55" i="2"/>
  <c r="S55" i="2"/>
  <c r="T55" i="2"/>
  <c r="P56" i="2"/>
  <c r="Q56" i="2"/>
  <c r="R56" i="2"/>
  <c r="S56" i="2"/>
  <c r="T56" i="2"/>
  <c r="P57" i="2"/>
  <c r="Q57" i="2"/>
  <c r="R57" i="2"/>
  <c r="S57" i="2"/>
  <c r="T57" i="2"/>
  <c r="P58" i="2"/>
  <c r="Q58" i="2"/>
  <c r="R58" i="2"/>
  <c r="S58" i="2"/>
  <c r="T58" i="2"/>
  <c r="O50" i="2"/>
  <c r="O51" i="2"/>
  <c r="O52" i="2"/>
  <c r="O53" i="2"/>
  <c r="O54" i="2"/>
  <c r="O55" i="2"/>
  <c r="O56" i="2"/>
  <c r="O57" i="2"/>
  <c r="O58" i="2"/>
  <c r="O49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H50" i="2"/>
  <c r="H51" i="2"/>
  <c r="H52" i="2"/>
  <c r="H53" i="2"/>
  <c r="H54" i="2"/>
  <c r="H55" i="2"/>
  <c r="H56" i="2"/>
  <c r="H57" i="2"/>
  <c r="H58" i="2"/>
  <c r="H49" i="2"/>
  <c r="A45" i="2"/>
  <c r="A44" i="2"/>
  <c r="A43" i="2"/>
  <c r="A42" i="2"/>
  <c r="A41" i="2"/>
  <c r="A40" i="2"/>
  <c r="A39" i="2"/>
  <c r="A38" i="2"/>
  <c r="A37" i="2"/>
  <c r="F39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A50" i="2"/>
  <c r="A51" i="2"/>
  <c r="A52" i="2"/>
  <c r="A53" i="2"/>
  <c r="A54" i="2"/>
  <c r="A55" i="2"/>
  <c r="A56" i="2"/>
  <c r="A57" i="2"/>
  <c r="A58" i="2"/>
  <c r="BV36" i="2"/>
  <c r="BW36" i="2"/>
  <c r="BX36" i="2"/>
  <c r="BY36" i="2"/>
  <c r="BZ36" i="2"/>
  <c r="CA36" i="2"/>
  <c r="BV37" i="2"/>
  <c r="BW37" i="2"/>
  <c r="BX37" i="2"/>
  <c r="BY37" i="2"/>
  <c r="BZ37" i="2"/>
  <c r="CA37" i="2"/>
  <c r="BV38" i="2"/>
  <c r="BW38" i="2"/>
  <c r="BX38" i="2"/>
  <c r="BY38" i="2"/>
  <c r="BZ38" i="2"/>
  <c r="CA38" i="2"/>
  <c r="BV39" i="2"/>
  <c r="BW39" i="2"/>
  <c r="BX39" i="2"/>
  <c r="BY39" i="2"/>
  <c r="BZ39" i="2"/>
  <c r="CA39" i="2"/>
  <c r="BV40" i="2"/>
  <c r="BW40" i="2"/>
  <c r="BX40" i="2"/>
  <c r="BY40" i="2"/>
  <c r="BZ40" i="2"/>
  <c r="CA40" i="2"/>
  <c r="BV41" i="2"/>
  <c r="BW41" i="2"/>
  <c r="BX41" i="2"/>
  <c r="BY41" i="2"/>
  <c r="BZ41" i="2"/>
  <c r="CA41" i="2"/>
  <c r="BV42" i="2"/>
  <c r="BW42" i="2"/>
  <c r="BX42" i="2"/>
  <c r="BY42" i="2"/>
  <c r="BZ42" i="2"/>
  <c r="CA42" i="2"/>
  <c r="BV43" i="2"/>
  <c r="BW43" i="2"/>
  <c r="BX43" i="2"/>
  <c r="BY43" i="2"/>
  <c r="BZ43" i="2"/>
  <c r="CA43" i="2"/>
  <c r="BV44" i="2"/>
  <c r="BW44" i="2"/>
  <c r="BX44" i="2"/>
  <c r="BY44" i="2"/>
  <c r="BZ44" i="2"/>
  <c r="CA44" i="2"/>
  <c r="BV45" i="2"/>
  <c r="BW45" i="2"/>
  <c r="BX45" i="2"/>
  <c r="BY45" i="2"/>
  <c r="BZ45" i="2"/>
  <c r="CA45" i="2"/>
  <c r="BU37" i="2"/>
  <c r="BU38" i="2"/>
  <c r="BU39" i="2"/>
  <c r="BU40" i="2"/>
  <c r="BU41" i="2"/>
  <c r="BU42" i="2"/>
  <c r="BU43" i="2"/>
  <c r="BU44" i="2"/>
  <c r="BU45" i="2"/>
  <c r="BU36" i="2"/>
  <c r="BN36" i="2"/>
  <c r="BO36" i="2"/>
  <c r="BP36" i="2"/>
  <c r="BQ36" i="2"/>
  <c r="BR36" i="2"/>
  <c r="BS36" i="2"/>
  <c r="BN37" i="2"/>
  <c r="BO37" i="2"/>
  <c r="BP37" i="2"/>
  <c r="BQ37" i="2"/>
  <c r="BR37" i="2"/>
  <c r="BS37" i="2"/>
  <c r="BN38" i="2"/>
  <c r="BO38" i="2"/>
  <c r="BP38" i="2"/>
  <c r="BQ38" i="2"/>
  <c r="BR38" i="2"/>
  <c r="BS38" i="2"/>
  <c r="BN39" i="2"/>
  <c r="BO39" i="2"/>
  <c r="BP39" i="2"/>
  <c r="BQ39" i="2"/>
  <c r="BR39" i="2"/>
  <c r="BS39" i="2"/>
  <c r="BN40" i="2"/>
  <c r="BO40" i="2"/>
  <c r="BP40" i="2"/>
  <c r="BQ40" i="2"/>
  <c r="BR40" i="2"/>
  <c r="BS40" i="2"/>
  <c r="BN41" i="2"/>
  <c r="BO41" i="2"/>
  <c r="BP41" i="2"/>
  <c r="BQ41" i="2"/>
  <c r="BR41" i="2"/>
  <c r="BS41" i="2"/>
  <c r="BN42" i="2"/>
  <c r="BO42" i="2"/>
  <c r="BP42" i="2"/>
  <c r="BQ42" i="2"/>
  <c r="BR42" i="2"/>
  <c r="BS42" i="2"/>
  <c r="BN43" i="2"/>
  <c r="BO43" i="2"/>
  <c r="BP43" i="2"/>
  <c r="BQ43" i="2"/>
  <c r="BR43" i="2"/>
  <c r="BS43" i="2"/>
  <c r="BN44" i="2"/>
  <c r="BO44" i="2"/>
  <c r="BP44" i="2"/>
  <c r="BQ44" i="2"/>
  <c r="BR44" i="2"/>
  <c r="BS44" i="2"/>
  <c r="BN45" i="2"/>
  <c r="BO45" i="2"/>
  <c r="BP45" i="2"/>
  <c r="BQ45" i="2"/>
  <c r="BR45" i="2"/>
  <c r="BS45" i="2"/>
  <c r="BM37" i="2"/>
  <c r="BM38" i="2"/>
  <c r="BM39" i="2"/>
  <c r="BM40" i="2"/>
  <c r="BM41" i="2"/>
  <c r="BM42" i="2"/>
  <c r="BM43" i="2"/>
  <c r="BM44" i="2"/>
  <c r="BM45" i="2"/>
  <c r="BM36" i="2"/>
  <c r="BF36" i="2"/>
  <c r="BG36" i="2"/>
  <c r="BH36" i="2"/>
  <c r="BI36" i="2"/>
  <c r="BJ36" i="2"/>
  <c r="BK36" i="2"/>
  <c r="BF37" i="2"/>
  <c r="BG37" i="2"/>
  <c r="BH37" i="2"/>
  <c r="BI37" i="2"/>
  <c r="BJ37" i="2"/>
  <c r="BK37" i="2"/>
  <c r="BF38" i="2"/>
  <c r="BG38" i="2"/>
  <c r="BH38" i="2"/>
  <c r="BI38" i="2"/>
  <c r="BJ38" i="2"/>
  <c r="BK38" i="2"/>
  <c r="BF39" i="2"/>
  <c r="BG39" i="2"/>
  <c r="BH39" i="2"/>
  <c r="BI39" i="2"/>
  <c r="BJ39" i="2"/>
  <c r="BK39" i="2"/>
  <c r="BF40" i="2"/>
  <c r="BG40" i="2"/>
  <c r="BH40" i="2"/>
  <c r="BI40" i="2"/>
  <c r="BJ40" i="2"/>
  <c r="BK40" i="2"/>
  <c r="BF41" i="2"/>
  <c r="BG41" i="2"/>
  <c r="BH41" i="2"/>
  <c r="BI41" i="2"/>
  <c r="BJ41" i="2"/>
  <c r="BK41" i="2"/>
  <c r="BF42" i="2"/>
  <c r="BG42" i="2"/>
  <c r="BH42" i="2"/>
  <c r="BI42" i="2"/>
  <c r="BJ42" i="2"/>
  <c r="BK42" i="2"/>
  <c r="BF43" i="2"/>
  <c r="BG43" i="2"/>
  <c r="BH43" i="2"/>
  <c r="BI43" i="2"/>
  <c r="BJ43" i="2"/>
  <c r="BK43" i="2"/>
  <c r="BF44" i="2"/>
  <c r="BG44" i="2"/>
  <c r="BH44" i="2"/>
  <c r="BI44" i="2"/>
  <c r="BJ44" i="2"/>
  <c r="BK44" i="2"/>
  <c r="BF45" i="2"/>
  <c r="BG45" i="2"/>
  <c r="BH45" i="2"/>
  <c r="BI45" i="2"/>
  <c r="BJ45" i="2"/>
  <c r="BK45" i="2"/>
  <c r="BE37" i="2"/>
  <c r="BE38" i="2"/>
  <c r="BE39" i="2"/>
  <c r="BE40" i="2"/>
  <c r="BE41" i="2"/>
  <c r="BE42" i="2"/>
  <c r="BE43" i="2"/>
  <c r="BE44" i="2"/>
  <c r="BE45" i="2"/>
  <c r="BE36" i="2"/>
  <c r="BC36" i="2"/>
  <c r="BC37" i="2"/>
  <c r="BC38" i="2"/>
  <c r="BC39" i="2"/>
  <c r="BC40" i="2"/>
  <c r="BC41" i="2"/>
  <c r="BC42" i="2"/>
  <c r="BC43" i="2"/>
  <c r="BC44" i="2"/>
  <c r="BC45" i="2"/>
  <c r="AX36" i="2"/>
  <c r="AY36" i="2"/>
  <c r="AZ36" i="2"/>
  <c r="BA36" i="2"/>
  <c r="BB36" i="2"/>
  <c r="AX37" i="2"/>
  <c r="AY37" i="2"/>
  <c r="AZ37" i="2"/>
  <c r="BA37" i="2"/>
  <c r="BB37" i="2"/>
  <c r="AX38" i="2"/>
  <c r="AY38" i="2"/>
  <c r="AZ38" i="2"/>
  <c r="BA38" i="2"/>
  <c r="BB38" i="2"/>
  <c r="AX39" i="2"/>
  <c r="AY39" i="2"/>
  <c r="AZ39" i="2"/>
  <c r="BA39" i="2"/>
  <c r="BB39" i="2"/>
  <c r="AX40" i="2"/>
  <c r="AY40" i="2"/>
  <c r="AZ40" i="2"/>
  <c r="BA40" i="2"/>
  <c r="BB40" i="2"/>
  <c r="AX41" i="2"/>
  <c r="AY41" i="2"/>
  <c r="AZ41" i="2"/>
  <c r="BA41" i="2"/>
  <c r="BB41" i="2"/>
  <c r="AX42" i="2"/>
  <c r="AY42" i="2"/>
  <c r="AZ42" i="2"/>
  <c r="BA42" i="2"/>
  <c r="BB42" i="2"/>
  <c r="AX43" i="2"/>
  <c r="AY43" i="2"/>
  <c r="AZ43" i="2"/>
  <c r="BA43" i="2"/>
  <c r="BB43" i="2"/>
  <c r="AX44" i="2"/>
  <c r="AY44" i="2"/>
  <c r="AZ44" i="2"/>
  <c r="BA44" i="2"/>
  <c r="BB44" i="2"/>
  <c r="AX45" i="2"/>
  <c r="AY45" i="2"/>
  <c r="AZ45" i="2"/>
  <c r="BA45" i="2"/>
  <c r="BB45" i="2"/>
  <c r="AW37" i="2"/>
  <c r="AW38" i="2"/>
  <c r="AW39" i="2"/>
  <c r="AW40" i="2"/>
  <c r="AW41" i="2"/>
  <c r="AW42" i="2"/>
  <c r="AW43" i="2"/>
  <c r="AW44" i="2"/>
  <c r="AW45" i="2"/>
  <c r="AW36" i="2"/>
  <c r="AP36" i="2"/>
  <c r="AQ36" i="2"/>
  <c r="AR36" i="2"/>
  <c r="AS36" i="2"/>
  <c r="AT36" i="2"/>
  <c r="AU36" i="2"/>
  <c r="AP37" i="2"/>
  <c r="AQ37" i="2"/>
  <c r="AR37" i="2"/>
  <c r="AS37" i="2"/>
  <c r="AT37" i="2"/>
  <c r="AU37" i="2"/>
  <c r="AP38" i="2"/>
  <c r="AQ38" i="2"/>
  <c r="AR38" i="2"/>
  <c r="AS38" i="2"/>
  <c r="AT38" i="2"/>
  <c r="AU38" i="2"/>
  <c r="AP39" i="2"/>
  <c r="AQ39" i="2"/>
  <c r="AR39" i="2"/>
  <c r="AS39" i="2"/>
  <c r="AT39" i="2"/>
  <c r="AU39" i="2"/>
  <c r="AP40" i="2"/>
  <c r="AQ40" i="2"/>
  <c r="AR40" i="2"/>
  <c r="AS40" i="2"/>
  <c r="AT40" i="2"/>
  <c r="AU40" i="2"/>
  <c r="AP41" i="2"/>
  <c r="AQ41" i="2"/>
  <c r="AR41" i="2"/>
  <c r="AS41" i="2"/>
  <c r="AT41" i="2"/>
  <c r="AU41" i="2"/>
  <c r="AP42" i="2"/>
  <c r="AQ42" i="2"/>
  <c r="AR42" i="2"/>
  <c r="AS42" i="2"/>
  <c r="AT42" i="2"/>
  <c r="AU42" i="2"/>
  <c r="AP43" i="2"/>
  <c r="AQ43" i="2"/>
  <c r="AR43" i="2"/>
  <c r="AS43" i="2"/>
  <c r="AT43" i="2"/>
  <c r="AU43" i="2"/>
  <c r="AP44" i="2"/>
  <c r="AQ44" i="2"/>
  <c r="AR44" i="2"/>
  <c r="AS44" i="2"/>
  <c r="AT44" i="2"/>
  <c r="AU44" i="2"/>
  <c r="AP45" i="2"/>
  <c r="AQ45" i="2"/>
  <c r="AR45" i="2"/>
  <c r="AS45" i="2"/>
  <c r="AT45" i="2"/>
  <c r="AU45" i="2"/>
  <c r="AO37" i="2"/>
  <c r="AO38" i="2"/>
  <c r="AO39" i="2"/>
  <c r="AO40" i="2"/>
  <c r="AO41" i="2"/>
  <c r="AO42" i="2"/>
  <c r="AO43" i="2"/>
  <c r="AO44" i="2"/>
  <c r="AO45" i="2"/>
  <c r="AO36" i="2"/>
  <c r="AG36" i="2"/>
  <c r="AH36" i="2"/>
  <c r="AI36" i="2"/>
  <c r="AJ36" i="2"/>
  <c r="AK36" i="2"/>
  <c r="AL36" i="2"/>
  <c r="AM36" i="2"/>
  <c r="AH37" i="2"/>
  <c r="AI37" i="2"/>
  <c r="AJ37" i="2"/>
  <c r="AK37" i="2"/>
  <c r="AL37" i="2"/>
  <c r="AM37" i="2"/>
  <c r="AH38" i="2"/>
  <c r="AI38" i="2"/>
  <c r="AJ38" i="2"/>
  <c r="AK38" i="2"/>
  <c r="AL38" i="2"/>
  <c r="AM38" i="2"/>
  <c r="AH39" i="2"/>
  <c r="AI39" i="2"/>
  <c r="AJ39" i="2"/>
  <c r="AK39" i="2"/>
  <c r="AL39" i="2"/>
  <c r="AM39" i="2"/>
  <c r="AH40" i="2"/>
  <c r="AI40" i="2"/>
  <c r="AJ40" i="2"/>
  <c r="AK40" i="2"/>
  <c r="AL40" i="2"/>
  <c r="AM40" i="2"/>
  <c r="AH41" i="2"/>
  <c r="AI41" i="2"/>
  <c r="AJ41" i="2"/>
  <c r="AK41" i="2"/>
  <c r="AL41" i="2"/>
  <c r="AM41" i="2"/>
  <c r="AH42" i="2"/>
  <c r="AI42" i="2"/>
  <c r="AJ42" i="2"/>
  <c r="AK42" i="2"/>
  <c r="AL42" i="2"/>
  <c r="AM42" i="2"/>
  <c r="AH43" i="2"/>
  <c r="AI43" i="2"/>
  <c r="AJ43" i="2"/>
  <c r="AK43" i="2"/>
  <c r="AL43" i="2"/>
  <c r="AM43" i="2"/>
  <c r="AH44" i="2"/>
  <c r="AI44" i="2"/>
  <c r="AJ44" i="2"/>
  <c r="AK44" i="2"/>
  <c r="AL44" i="2"/>
  <c r="AM44" i="2"/>
  <c r="AH45" i="2"/>
  <c r="AI45" i="2"/>
  <c r="AJ45" i="2"/>
  <c r="AK45" i="2"/>
  <c r="AL45" i="2"/>
  <c r="AM45" i="2"/>
  <c r="AG37" i="2"/>
  <c r="AG38" i="2"/>
  <c r="AG39" i="2"/>
  <c r="AG40" i="2"/>
  <c r="AG41" i="2"/>
  <c r="AG42" i="2"/>
  <c r="AG43" i="2"/>
  <c r="AG44" i="2"/>
  <c r="AG45" i="2"/>
  <c r="Y36" i="2"/>
  <c r="Z36" i="2"/>
  <c r="AA36" i="2"/>
  <c r="AB36" i="2"/>
  <c r="AC36" i="2"/>
  <c r="AD36" i="2"/>
  <c r="AE36" i="2"/>
  <c r="Z37" i="2"/>
  <c r="AA37" i="2"/>
  <c r="AB37" i="2"/>
  <c r="AC37" i="2"/>
  <c r="AD37" i="2"/>
  <c r="AE37" i="2"/>
  <c r="Z38" i="2"/>
  <c r="AA38" i="2"/>
  <c r="AB38" i="2"/>
  <c r="AC38" i="2"/>
  <c r="AD38" i="2"/>
  <c r="AE38" i="2"/>
  <c r="Z39" i="2"/>
  <c r="AA39" i="2"/>
  <c r="AB39" i="2"/>
  <c r="AC39" i="2"/>
  <c r="AD39" i="2"/>
  <c r="AE39" i="2"/>
  <c r="Z40" i="2"/>
  <c r="AA40" i="2"/>
  <c r="AB40" i="2"/>
  <c r="AC40" i="2"/>
  <c r="AD40" i="2"/>
  <c r="AE40" i="2"/>
  <c r="Z41" i="2"/>
  <c r="AA41" i="2"/>
  <c r="AB41" i="2"/>
  <c r="AC41" i="2"/>
  <c r="AD41" i="2"/>
  <c r="AE41" i="2"/>
  <c r="Z42" i="2"/>
  <c r="AA42" i="2"/>
  <c r="AB42" i="2"/>
  <c r="AC42" i="2"/>
  <c r="AD42" i="2"/>
  <c r="AE42" i="2"/>
  <c r="Z43" i="2"/>
  <c r="AA43" i="2"/>
  <c r="AB43" i="2"/>
  <c r="AC43" i="2"/>
  <c r="AD43" i="2"/>
  <c r="AE43" i="2"/>
  <c r="Z44" i="2"/>
  <c r="AA44" i="2"/>
  <c r="AB44" i="2"/>
  <c r="AC44" i="2"/>
  <c r="AD44" i="2"/>
  <c r="AE44" i="2"/>
  <c r="Z45" i="2"/>
  <c r="AA45" i="2"/>
  <c r="AB45" i="2"/>
  <c r="AC45" i="2"/>
  <c r="AD45" i="2"/>
  <c r="AE45" i="2"/>
  <c r="Y37" i="2"/>
  <c r="Y38" i="2"/>
  <c r="Y39" i="2"/>
  <c r="Y40" i="2"/>
  <c r="Y41" i="2"/>
  <c r="Y42" i="2"/>
  <c r="Y43" i="2"/>
  <c r="Y44" i="2"/>
  <c r="Y45" i="2"/>
  <c r="Q36" i="2"/>
  <c r="R36" i="2"/>
  <c r="S36" i="2"/>
  <c r="T36" i="2"/>
  <c r="U36" i="2"/>
  <c r="V36" i="2"/>
  <c r="W36" i="2"/>
  <c r="R37" i="2"/>
  <c r="S37" i="2"/>
  <c r="T37" i="2"/>
  <c r="U37" i="2"/>
  <c r="V37" i="2"/>
  <c r="W37" i="2"/>
  <c r="R38" i="2"/>
  <c r="S38" i="2"/>
  <c r="T38" i="2"/>
  <c r="U38" i="2"/>
  <c r="V38" i="2"/>
  <c r="W38" i="2"/>
  <c r="R39" i="2"/>
  <c r="S39" i="2"/>
  <c r="T39" i="2"/>
  <c r="U39" i="2"/>
  <c r="V39" i="2"/>
  <c r="W39" i="2"/>
  <c r="R40" i="2"/>
  <c r="S40" i="2"/>
  <c r="T40" i="2"/>
  <c r="U40" i="2"/>
  <c r="V40" i="2"/>
  <c r="W40" i="2"/>
  <c r="R41" i="2"/>
  <c r="S41" i="2"/>
  <c r="T41" i="2"/>
  <c r="U41" i="2"/>
  <c r="V41" i="2"/>
  <c r="W41" i="2"/>
  <c r="R42" i="2"/>
  <c r="S42" i="2"/>
  <c r="T42" i="2"/>
  <c r="U42" i="2"/>
  <c r="V42" i="2"/>
  <c r="W42" i="2"/>
  <c r="R43" i="2"/>
  <c r="S43" i="2"/>
  <c r="T43" i="2"/>
  <c r="U43" i="2"/>
  <c r="V43" i="2"/>
  <c r="W43" i="2"/>
  <c r="R44" i="2"/>
  <c r="S44" i="2"/>
  <c r="T44" i="2"/>
  <c r="U44" i="2"/>
  <c r="V44" i="2"/>
  <c r="W44" i="2"/>
  <c r="R45" i="2"/>
  <c r="S45" i="2"/>
  <c r="T45" i="2"/>
  <c r="U45" i="2"/>
  <c r="V45" i="2"/>
  <c r="W45" i="2"/>
  <c r="Q37" i="2"/>
  <c r="Q38" i="2"/>
  <c r="Q39" i="2"/>
  <c r="Q40" i="2"/>
  <c r="Q41" i="2"/>
  <c r="Q42" i="2"/>
  <c r="Q43" i="2"/>
  <c r="Q44" i="2"/>
  <c r="Q45" i="2"/>
  <c r="J36" i="2"/>
  <c r="K36" i="2"/>
  <c r="L36" i="2"/>
  <c r="M36" i="2"/>
  <c r="N36" i="2"/>
  <c r="O36" i="2"/>
  <c r="J37" i="2"/>
  <c r="K37" i="2"/>
  <c r="L37" i="2"/>
  <c r="M37" i="2"/>
  <c r="N37" i="2"/>
  <c r="O37" i="2"/>
  <c r="J38" i="2"/>
  <c r="K38" i="2"/>
  <c r="L38" i="2"/>
  <c r="M38" i="2"/>
  <c r="N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J41" i="2"/>
  <c r="K41" i="2"/>
  <c r="L41" i="2"/>
  <c r="M41" i="2"/>
  <c r="N41" i="2"/>
  <c r="O41" i="2"/>
  <c r="J42" i="2"/>
  <c r="K42" i="2"/>
  <c r="L42" i="2"/>
  <c r="M42" i="2"/>
  <c r="N42" i="2"/>
  <c r="O42" i="2"/>
  <c r="J43" i="2"/>
  <c r="K43" i="2"/>
  <c r="L43" i="2"/>
  <c r="M43" i="2"/>
  <c r="N43" i="2"/>
  <c r="O43" i="2"/>
  <c r="J44" i="2"/>
  <c r="K44" i="2"/>
  <c r="L44" i="2"/>
  <c r="M44" i="2"/>
  <c r="N44" i="2"/>
  <c r="O44" i="2"/>
  <c r="J45" i="2"/>
  <c r="K45" i="2"/>
  <c r="L45" i="2"/>
  <c r="M45" i="2"/>
  <c r="N45" i="2"/>
  <c r="O45" i="2"/>
  <c r="I37" i="2"/>
  <c r="I38" i="2"/>
  <c r="I39" i="2"/>
  <c r="I40" i="2"/>
  <c r="I41" i="2"/>
  <c r="I42" i="2"/>
  <c r="I43" i="2"/>
  <c r="I44" i="2"/>
  <c r="I45" i="2"/>
  <c r="I36" i="2"/>
  <c r="G36" i="2"/>
  <c r="B36" i="2"/>
  <c r="C36" i="2"/>
  <c r="D36" i="2"/>
  <c r="E36" i="2"/>
  <c r="F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J7" i="2"/>
  <c r="H1" i="2"/>
  <c r="U11" i="4" l="1"/>
  <c r="B25" i="4"/>
  <c r="B26" i="4" s="1"/>
  <c r="F25" i="4"/>
  <c r="F26" i="4" s="1"/>
  <c r="G25" i="4"/>
  <c r="G26" i="4" s="1"/>
  <c r="C25" i="4"/>
  <c r="C26" i="4" s="1"/>
  <c r="E25" i="4"/>
  <c r="E26" i="4" s="1"/>
  <c r="H25" i="4"/>
  <c r="H26" i="4" s="1"/>
  <c r="D25" i="4"/>
  <c r="D26" i="4" s="1"/>
  <c r="M31" i="2"/>
  <c r="O31" i="2"/>
  <c r="P31" i="2"/>
  <c r="Q31" i="2"/>
  <c r="L31" i="2"/>
  <c r="N31" i="2"/>
  <c r="R31" i="2"/>
  <c r="K18" i="2"/>
  <c r="L18" i="2"/>
  <c r="M18" i="2"/>
  <c r="N18" i="2"/>
  <c r="O18" i="2"/>
  <c r="P18" i="2"/>
  <c r="Q18" i="2"/>
  <c r="J18" i="2"/>
  <c r="K6" i="2"/>
  <c r="K7" i="2"/>
  <c r="K8" i="2"/>
  <c r="K9" i="2"/>
  <c r="K10" i="2"/>
  <c r="K11" i="2"/>
  <c r="K12" i="2"/>
  <c r="K13" i="2"/>
  <c r="K14" i="2"/>
  <c r="K15" i="2"/>
  <c r="L7" i="2"/>
  <c r="L8" i="2"/>
  <c r="L9" i="2"/>
  <c r="L10" i="2"/>
  <c r="L11" i="2"/>
  <c r="L12" i="2"/>
  <c r="L13" i="2"/>
  <c r="L14" i="2"/>
  <c r="L15" i="2"/>
  <c r="M7" i="2"/>
  <c r="M8" i="2"/>
  <c r="M9" i="2"/>
  <c r="M10" i="2"/>
  <c r="M11" i="2"/>
  <c r="M12" i="2"/>
  <c r="M13" i="2"/>
  <c r="M14" i="2"/>
  <c r="M15" i="2"/>
  <c r="N7" i="2"/>
  <c r="N8" i="2"/>
  <c r="N9" i="2"/>
  <c r="N10" i="2"/>
  <c r="N11" i="2"/>
  <c r="N12" i="2"/>
  <c r="N13" i="2"/>
  <c r="N14" i="2"/>
  <c r="N15" i="2"/>
  <c r="O7" i="2"/>
  <c r="O8" i="2"/>
  <c r="O9" i="2"/>
  <c r="O10" i="2"/>
  <c r="O11" i="2"/>
  <c r="O12" i="2"/>
  <c r="O13" i="2"/>
  <c r="O14" i="2"/>
  <c r="O15" i="2"/>
  <c r="P7" i="2"/>
  <c r="P8" i="2"/>
  <c r="P9" i="2"/>
  <c r="P10" i="2"/>
  <c r="P11" i="2"/>
  <c r="P12" i="2"/>
  <c r="P13" i="2"/>
  <c r="P14" i="2"/>
  <c r="P15" i="2"/>
  <c r="Q7" i="2"/>
  <c r="Q8" i="2"/>
  <c r="Q9" i="2"/>
  <c r="Q10" i="2"/>
  <c r="Q11" i="2"/>
  <c r="Q12" i="2"/>
  <c r="Q13" i="2"/>
  <c r="Q14" i="2"/>
  <c r="Q15" i="2"/>
  <c r="P6" i="2"/>
  <c r="Q6" i="2"/>
  <c r="L6" i="2"/>
  <c r="M6" i="2"/>
  <c r="N6" i="2"/>
  <c r="O6" i="2"/>
  <c r="J8" i="2"/>
  <c r="J9" i="2"/>
  <c r="J10" i="2"/>
  <c r="J11" i="2"/>
  <c r="J12" i="2"/>
  <c r="J13" i="2"/>
  <c r="J14" i="2"/>
  <c r="J15" i="2"/>
  <c r="F1" i="2"/>
  <c r="B30" i="2"/>
  <c r="C30" i="2"/>
  <c r="C31" i="2" s="1"/>
  <c r="D30" i="2"/>
  <c r="D31" i="2" s="1"/>
  <c r="E30" i="2"/>
  <c r="E31" i="2" s="1"/>
  <c r="F30" i="2"/>
  <c r="G30" i="2"/>
  <c r="G31" i="2" s="1"/>
  <c r="H30" i="2"/>
  <c r="H31" i="2" s="1"/>
  <c r="A30" i="2"/>
  <c r="A31" i="2" s="1"/>
  <c r="B29" i="2"/>
  <c r="C29" i="2"/>
  <c r="D29" i="2"/>
  <c r="E29" i="2"/>
  <c r="F29" i="2"/>
  <c r="G29" i="2"/>
  <c r="H29" i="2"/>
  <c r="A29" i="2"/>
  <c r="D3" i="1"/>
  <c r="H20" i="1"/>
  <c r="B20" i="1"/>
  <c r="C20" i="1"/>
  <c r="D20" i="1"/>
  <c r="E20" i="1"/>
  <c r="F20" i="1"/>
  <c r="G20" i="1"/>
  <c r="I20" i="1"/>
  <c r="F1" i="1"/>
  <c r="D2" i="1"/>
  <c r="B19" i="1"/>
  <c r="C19" i="1"/>
  <c r="D19" i="1"/>
  <c r="E19" i="1"/>
  <c r="F19" i="1"/>
  <c r="G19" i="1"/>
  <c r="H19" i="1"/>
  <c r="B18" i="1"/>
  <c r="C18" i="1"/>
  <c r="D18" i="1"/>
  <c r="E18" i="1"/>
  <c r="F18" i="1"/>
  <c r="G18" i="1"/>
  <c r="H18" i="1"/>
  <c r="A19" i="1"/>
  <c r="A18" i="1"/>
  <c r="I26" i="4" l="1"/>
  <c r="N12" i="4" s="1"/>
  <c r="U24" i="2"/>
  <c r="U27" i="2" s="1"/>
  <c r="B31" i="2"/>
  <c r="F31" i="2"/>
  <c r="F2" i="2" l="1"/>
</calcChain>
</file>

<file path=xl/sharedStrings.xml><?xml version="1.0" encoding="utf-8"?>
<sst xmlns="http://schemas.openxmlformats.org/spreadsheetml/2006/main" count="420" uniqueCount="157">
  <si>
    <t>μ=</t>
  </si>
  <si>
    <t>σ=</t>
  </si>
  <si>
    <t>Среднее значение</t>
  </si>
  <si>
    <t>Выборпочная дисперсия</t>
  </si>
  <si>
    <t>g=</t>
  </si>
  <si>
    <t>Общее среднее=</t>
  </si>
  <si>
    <t>Общая выборочная дисперсия=</t>
  </si>
  <si>
    <t>Дисперсии однородны</t>
  </si>
  <si>
    <t>k=</t>
  </si>
  <si>
    <t>Дисперсия характеризующая фактор случайности=</t>
  </si>
  <si>
    <t>Дисперсия фактора A=</t>
  </si>
  <si>
    <t>Число степеней свободы=</t>
  </si>
  <si>
    <t>F статистика</t>
  </si>
  <si>
    <t>F статистика=</t>
  </si>
  <si>
    <t>Критическое значение F распределения</t>
  </si>
  <si>
    <t>Вывод: гипотеза Н0 принимается, следовательно влияние фактора А не значимо</t>
  </si>
  <si>
    <t>g крит.=</t>
  </si>
  <si>
    <t>n=</t>
  </si>
  <si>
    <t>p=</t>
  </si>
  <si>
    <t>Выборка</t>
  </si>
  <si>
    <t>Ранжированная выборка</t>
  </si>
  <si>
    <t>Сумарный ранг</t>
  </si>
  <si>
    <t>Средний ранг</t>
  </si>
  <si>
    <t>Средний по всей совокупности ранг</t>
  </si>
  <si>
    <t>Разность</t>
  </si>
  <si>
    <t>H=</t>
  </si>
  <si>
    <t>Средние ранги</t>
  </si>
  <si>
    <t>Среднее</t>
  </si>
  <si>
    <t>t</t>
  </si>
  <si>
    <t>T</t>
  </si>
  <si>
    <t>Н мод.=</t>
  </si>
  <si>
    <t>H0=</t>
  </si>
  <si>
    <t>Вывод: гипотеза отклоняется, влияние фактора А значимо</t>
  </si>
  <si>
    <t>1-2</t>
  </si>
  <si>
    <t>1-3</t>
  </si>
  <si>
    <t>1-4</t>
  </si>
  <si>
    <t>1-5</t>
  </si>
  <si>
    <t>1-6</t>
  </si>
  <si>
    <t>1-7</t>
  </si>
  <si>
    <t>1-8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</si>
  <si>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</si>
  <si>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</si>
  <si>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</si>
  <si>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</si>
  <si>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</si>
  <si>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</si>
  <si>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</si>
  <si>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</si>
  <si>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</si>
  <si>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</si>
  <si>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B6</t>
  </si>
  <si>
    <t>2-3</t>
  </si>
  <si>
    <t>2-4</t>
  </si>
  <si>
    <t>2-5</t>
  </si>
  <si>
    <t>2-6</t>
  </si>
  <si>
    <t>2-7</t>
  </si>
  <si>
    <t>2-8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</si>
  <si>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</si>
  <si>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</si>
  <si>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</si>
  <si>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</si>
  <si>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</si>
  <si>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</si>
  <si>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</si>
  <si>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</si>
  <si>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</si>
  <si>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3-4</t>
  </si>
  <si>
    <t>3-5</t>
  </si>
  <si>
    <t>3-6</t>
  </si>
  <si>
    <t>3-7</t>
  </si>
  <si>
    <t>3-8</t>
  </si>
  <si>
    <t>С6</t>
  </si>
  <si>
    <t>С7</t>
  </si>
  <si>
    <t>С8</t>
  </si>
  <si>
    <t>С9</t>
  </si>
  <si>
    <t>С10</t>
  </si>
  <si>
    <t>С11</t>
  </si>
  <si>
    <t>С12</t>
  </si>
  <si>
    <t>С13</t>
  </si>
  <si>
    <t>С14</t>
  </si>
  <si>
    <t>С15</t>
  </si>
  <si>
    <t>4-5</t>
  </si>
  <si>
    <t>4-6</t>
  </si>
  <si>
    <t>4-7</t>
  </si>
  <si>
    <t>4-8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</si>
  <si>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</si>
  <si>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</si>
  <si>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</si>
  <si>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</si>
  <si>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</si>
  <si>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</si>
  <si>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</si>
  <si>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</si>
  <si>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</si>
  <si>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</si>
  <si>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E6</t>
  </si>
  <si>
    <t>5-6</t>
  </si>
  <si>
    <t>5-7</t>
  </si>
  <si>
    <t>5-8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</si>
  <si>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</si>
  <si>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</si>
  <si>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</si>
  <si>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</si>
  <si>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</si>
  <si>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</si>
  <si>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</si>
  <si>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</si>
  <si>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</si>
  <si>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F6</t>
  </si>
  <si>
    <t>6-7</t>
  </si>
  <si>
    <t>6-8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</si>
  <si>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</si>
  <si>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</si>
  <si>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</si>
  <si>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</si>
  <si>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</si>
  <si>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</si>
  <si>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</si>
  <si>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</si>
  <si>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</si>
  <si>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7-8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</si>
  <si>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</si>
  <si>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</si>
  <si>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</si>
  <si>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</si>
  <si>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</si>
  <si>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</si>
  <si>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</si>
  <si>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</si>
  <si>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</si>
  <si>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</si>
  <si>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U</t>
  </si>
  <si>
    <t>A</t>
  </si>
  <si>
    <t>B</t>
  </si>
  <si>
    <t>C</t>
  </si>
  <si>
    <t>D</t>
  </si>
  <si>
    <t>E</t>
  </si>
  <si>
    <t>F</t>
  </si>
  <si>
    <t>G</t>
  </si>
  <si>
    <t>Манна-Уитни</t>
  </si>
  <si>
    <t>Статистика Джонкхиера</t>
  </si>
  <si>
    <t>Среднее статистики Джонкхиера</t>
  </si>
  <si>
    <t>Дисперсия статистики Джонкхиера</t>
  </si>
  <si>
    <t>Нормированная статистика Джонкхиера</t>
  </si>
  <si>
    <t>Критическое значение</t>
  </si>
  <si>
    <t>Вывод: гипотеза Н0 принимается, влияние фактора А не значимо</t>
  </si>
  <si>
    <t>Дисперсия</t>
  </si>
  <si>
    <t>Крит. F</t>
  </si>
  <si>
    <t>Общая дисперсия=</t>
  </si>
  <si>
    <t>Ранжированный</t>
  </si>
  <si>
    <t>Суммарные ранги</t>
  </si>
  <si>
    <t>Статистика Фридмана</t>
  </si>
  <si>
    <t>Критическая статистика Фридмана</t>
  </si>
  <si>
    <t>Статистика Пейджа</t>
  </si>
  <si>
    <t>Критическая статистика Пейджа</t>
  </si>
  <si>
    <t>Дисперсия фактора B</t>
  </si>
  <si>
    <t>Вывод: гипотеза Н0 отклоняется, следовательно влияние фактора B значимо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</si>
</sst>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right"/>
    </xf>
    <xf numFmtId="0" fontId="0" fillId="2" borderId="1" xfId="0" applyFill="1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/>
    <xf numFmtId="0" fontId="2" fillId="0" borderId="1" xfId="0" applyFont="1" applyBorder="1"/>
    <xf numFmtId="0" fontId="0" fillId="0" borderId="0" xfId="0" applyFill="1" applyBorder="1" applyAlignment="1">
      <alignment horizontal="center"/>
    </xf>
    <xf numFmtId="164" fontId="0" fillId="2" borderId="1" xfId="0" applyNumberFormat="1" applyFill="1" applyBorder="1"/>
    <xf numFmtId="164" fontId="0" fillId="2" borderId="1" xfId="0" applyNumberForma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0" fillId="2" borderId="5" xfId="0" applyFill="1" applyBorder="1"/>
    <xf numFmtId="49" fontId="0" fillId="0" borderId="1" xfId="0" applyNumberFormat="1" applyBorder="1"/>
    <xf numFmtId="0" fontId="0" fillId="0" borderId="1" xfId="0" applyBorder="1" applyAlignment="1"/>
    <xf numFmtId="49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2" borderId="1" xfId="0" applyFill="1" applyBorder="1" applyAlignment="1"/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/>
    <xf numFmtId="0" fontId="0" fillId="4" borderId="0" xfId="0" applyFill="1"/>
    <xf numFmtId="0" fontId="2" fillId="0" borderId="0" xfId="0" applyFont="1" applyAlignment="1">
      <alignment horizontal="center"/>
    </xf>
    <xf numFmtId="0" fontId="0" fillId="2" borderId="6" xfId="0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zoomScale="85" zoomScaleNormal="85" workbookViewId="0">
      <selection activeCell="I9" sqref="I9"/>
    </sheetView>
  </sheetViews>
  <sheetFormatPr defaultRowHeight="14.4" x14ac:dyDescent="0.3"/>
  <cols>
    <col min="2" max="2" width="13.88671875" customWidth="1"/>
    <col min="3" max="3" width="12.5546875" customWidth="1"/>
    <col min="4" max="4" width="10.33203125" bestFit="1" customWidth="1"/>
    <col min="5" max="5" width="13.6640625" bestFit="1" customWidth="1"/>
    <col min="6" max="6" width="8.6640625" customWidth="1"/>
    <col min="7" max="7" width="11.44140625" customWidth="1"/>
    <col min="8" max="8" width="21.88671875" customWidth="1"/>
    <col min="9" max="9" width="23.88671875" bestFit="1" customWidth="1"/>
    <col min="10" max="10" width="22.109375" bestFit="1" customWidth="1"/>
    <col min="11" max="11" width="23.88671875" bestFit="1" customWidth="1"/>
  </cols>
  <sheetData>
    <row r="1" spans="1:12" ht="43.2" x14ac:dyDescent="0.3">
      <c r="A1" s="2" t="s">
        <v>0</v>
      </c>
      <c r="B1" s="8">
        <v>0</v>
      </c>
      <c r="C1" s="11" t="s">
        <v>5</v>
      </c>
      <c r="D1" s="12">
        <f>AVERAGE(A7:H16)</f>
        <v>5.9416237263576477E-3</v>
      </c>
      <c r="E1" s="14" t="s">
        <v>4</v>
      </c>
      <c r="F1" s="12">
        <f>MAX(A19:H19)/SUM(A19:H19)</f>
        <v>0.22398203370022232</v>
      </c>
      <c r="G1" s="34" t="s">
        <v>7</v>
      </c>
      <c r="H1" s="11" t="s">
        <v>9</v>
      </c>
      <c r="I1" s="17">
        <f>SUM(A19:H19)/k</f>
        <v>3.9558369569992091E-2</v>
      </c>
      <c r="J1" s="14" t="s">
        <v>13</v>
      </c>
      <c r="K1" s="18">
        <f>I2/I1</f>
        <v>0.39236220015790652</v>
      </c>
    </row>
    <row r="2" spans="1:12" ht="43.2" x14ac:dyDescent="0.3">
      <c r="A2" s="2" t="s">
        <v>1</v>
      </c>
      <c r="B2" s="8">
        <v>0.2</v>
      </c>
      <c r="C2" s="11" t="s">
        <v>6</v>
      </c>
      <c r="D2" s="12">
        <f>VAR(A7:H16)</f>
        <v>3.7821436573565896E-2</v>
      </c>
      <c r="E2" s="15" t="s">
        <v>16</v>
      </c>
      <c r="F2" s="16">
        <v>0.33700000000000002</v>
      </c>
      <c r="G2" s="34"/>
      <c r="H2" s="14" t="s">
        <v>10</v>
      </c>
      <c r="I2" s="17">
        <f>(10/9)*I20</f>
        <v>1.5521208919141676E-2</v>
      </c>
      <c r="J2" s="11" t="s">
        <v>14</v>
      </c>
      <c r="K2" s="18">
        <f>_xlfn.F.INV(0.95,7,72)</f>
        <v>2.1396555123991972</v>
      </c>
    </row>
    <row r="3" spans="1:12" ht="43.2" x14ac:dyDescent="0.3">
      <c r="A3" s="14" t="s">
        <v>8</v>
      </c>
      <c r="B3" s="12">
        <v>8</v>
      </c>
      <c r="C3" s="11" t="s">
        <v>11</v>
      </c>
      <c r="D3" s="12">
        <f>k*(10-1)</f>
        <v>72</v>
      </c>
      <c r="E3" s="4"/>
      <c r="F3" s="4"/>
      <c r="G3" s="4"/>
      <c r="H3" s="4"/>
      <c r="I3" s="4"/>
      <c r="J3" s="4"/>
    </row>
    <row r="4" spans="1:12" x14ac:dyDescent="0.3">
      <c r="A4" s="4"/>
      <c r="B4" s="4"/>
      <c r="C4" s="4"/>
      <c r="D4" s="4"/>
      <c r="E4" s="4"/>
      <c r="F4" s="4"/>
      <c r="G4" s="4"/>
      <c r="H4" s="4"/>
      <c r="I4" s="35" t="s">
        <v>15</v>
      </c>
      <c r="J4" s="35"/>
      <c r="K4" s="35"/>
      <c r="L4" s="35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2" x14ac:dyDescent="0.3">
      <c r="A7" s="7">
        <v>-8.8321712610195391E-2</v>
      </c>
      <c r="B7" s="7">
        <v>-5.2659515858977102E-2</v>
      </c>
      <c r="C7" s="7">
        <v>0.27646274247672409</v>
      </c>
      <c r="D7" s="7">
        <v>-0.10244957593386061</v>
      </c>
      <c r="E7" s="7">
        <v>6.3625293478253298E-2</v>
      </c>
      <c r="F7" s="7">
        <v>-0.33606011129450053</v>
      </c>
      <c r="G7" s="7">
        <v>0.1835401235439349</v>
      </c>
      <c r="H7" s="7">
        <v>2.345450411667116E-2</v>
      </c>
      <c r="I7" s="4"/>
      <c r="J7" s="4"/>
    </row>
    <row r="8" spans="1:12" x14ac:dyDescent="0.3">
      <c r="A8" s="7">
        <v>-0.2408978616585955</v>
      </c>
      <c r="B8" s="7">
        <v>0.32647221814841032</v>
      </c>
      <c r="C8" s="7">
        <v>-0.11029260349459946</v>
      </c>
      <c r="D8" s="7">
        <v>0.10956296137010213</v>
      </c>
      <c r="E8" s="7">
        <v>0.19375738702365197</v>
      </c>
      <c r="F8" s="7">
        <v>8.7293983597191982E-2</v>
      </c>
      <c r="G8" s="7">
        <v>8.965616871137172E-2</v>
      </c>
      <c r="H8" s="7">
        <v>-0.45107663027010858</v>
      </c>
      <c r="I8" s="4"/>
      <c r="J8" s="4"/>
    </row>
    <row r="9" spans="1:12" x14ac:dyDescent="0.3">
      <c r="A9" s="7">
        <v>-2.9334842110984027E-2</v>
      </c>
      <c r="B9" s="7">
        <v>0.24318887881236151</v>
      </c>
      <c r="C9" s="7">
        <v>0.14220586308510974</v>
      </c>
      <c r="D9" s="7">
        <v>0.31105810194276273</v>
      </c>
      <c r="E9" s="7">
        <v>9.131713341048453E-2</v>
      </c>
      <c r="F9" s="7">
        <v>-0.16403282643295825</v>
      </c>
      <c r="G9" s="7">
        <v>-0.25470853870501742</v>
      </c>
      <c r="H9" s="7">
        <v>-9.2184109234949574E-2</v>
      </c>
      <c r="I9" s="4"/>
      <c r="J9" s="4"/>
    </row>
    <row r="10" spans="1:12" x14ac:dyDescent="0.3">
      <c r="A10" s="7">
        <v>0.20595734895323403</v>
      </c>
      <c r="B10" s="7">
        <v>0.56793214753270149</v>
      </c>
      <c r="C10" s="7">
        <v>-7.5787738751387224E-2</v>
      </c>
      <c r="D10" s="7">
        <v>3.5727225622395054E-3</v>
      </c>
      <c r="E10" s="7">
        <v>-8.3890427049482241E-2</v>
      </c>
      <c r="F10" s="7">
        <v>-0.22068434191169217</v>
      </c>
      <c r="G10" s="7">
        <v>3.0139290174702182E-2</v>
      </c>
      <c r="H10" s="7">
        <v>0.17726642909110524</v>
      </c>
      <c r="I10" s="4"/>
      <c r="J10" s="4"/>
    </row>
    <row r="11" spans="1:12" x14ac:dyDescent="0.3">
      <c r="A11" s="7">
        <v>7.9980054579209536E-2</v>
      </c>
      <c r="B11" s="7">
        <v>-0.14727538655279204</v>
      </c>
      <c r="C11" s="7">
        <v>0.11741713024093769</v>
      </c>
      <c r="D11" s="7">
        <v>0.12689451978076249</v>
      </c>
      <c r="E11" s="7">
        <v>1.0174971976084635E-3</v>
      </c>
      <c r="F11" s="7">
        <v>0.36436176742427051</v>
      </c>
      <c r="G11" s="7">
        <v>-7.6264768722467124E-2</v>
      </c>
      <c r="H11" s="7">
        <v>0.34635286283446476</v>
      </c>
      <c r="I11" s="4"/>
      <c r="J11" s="4"/>
    </row>
    <row r="12" spans="1:12" x14ac:dyDescent="0.3">
      <c r="A12" s="7">
        <v>-0.29743659979430959</v>
      </c>
      <c r="B12" s="7">
        <v>-9.9598764791153371E-2</v>
      </c>
      <c r="C12" s="7">
        <v>-0.14551551430486143</v>
      </c>
      <c r="D12" s="7">
        <v>4.6899231165298261E-2</v>
      </c>
      <c r="E12" s="7">
        <v>0.27903115551453084</v>
      </c>
      <c r="F12" s="7">
        <v>-4.9766185838961974E-2</v>
      </c>
      <c r="G12" s="7">
        <v>0.15569366951240227</v>
      </c>
      <c r="H12" s="7">
        <v>1.9161461750627495E-2</v>
      </c>
      <c r="I12" s="4"/>
      <c r="J12" s="4"/>
    </row>
    <row r="13" spans="1:12" x14ac:dyDescent="0.3">
      <c r="A13" s="7">
        <v>-0.27988426154479384</v>
      </c>
      <c r="B13" s="7">
        <v>0.20559400581987575</v>
      </c>
      <c r="C13" s="7">
        <v>-0.16356216292479075</v>
      </c>
      <c r="D13" s="7">
        <v>0.226572865358321</v>
      </c>
      <c r="E13" s="7">
        <v>-6.7564769778982736E-2</v>
      </c>
      <c r="F13" s="7">
        <v>-1.6980038708425127E-2</v>
      </c>
      <c r="G13" s="7">
        <v>8.0759491538628936E-2</v>
      </c>
      <c r="H13" s="7">
        <v>7.7351614891085774E-2</v>
      </c>
      <c r="I13" s="4"/>
      <c r="J13" s="4"/>
    </row>
    <row r="14" spans="1:12" x14ac:dyDescent="0.3">
      <c r="A14" s="7">
        <v>1.4248371371650137E-2</v>
      </c>
      <c r="B14" s="7">
        <v>-0.27027181204175577</v>
      </c>
      <c r="C14" s="7">
        <v>-0.20006700651720166</v>
      </c>
      <c r="D14" s="7">
        <v>2.6878069547819905E-2</v>
      </c>
      <c r="E14" s="7">
        <v>-0.21931100491201505</v>
      </c>
      <c r="F14" s="7">
        <v>-0.18110586097463965</v>
      </c>
      <c r="G14" s="7">
        <v>-0.11118436304968782</v>
      </c>
      <c r="H14" s="7">
        <v>2.0284005586290732E-2</v>
      </c>
      <c r="I14" s="4"/>
      <c r="J14" s="4"/>
    </row>
    <row r="15" spans="1:12" x14ac:dyDescent="0.3">
      <c r="A15" s="7">
        <v>6.3428160501644015E-3</v>
      </c>
      <c r="B15" s="7">
        <v>0.14126203495834488</v>
      </c>
      <c r="C15" s="7">
        <v>0.45166234485805035</v>
      </c>
      <c r="D15" s="7">
        <v>-0.11052406989620067</v>
      </c>
      <c r="E15" s="7">
        <v>-8.0460949902771972E-2</v>
      </c>
      <c r="F15" s="7">
        <v>0.11871020433318336</v>
      </c>
      <c r="G15" s="7">
        <v>0.21093501345603727</v>
      </c>
      <c r="H15" s="7">
        <v>-8.157371667039115E-2</v>
      </c>
      <c r="I15" s="4"/>
      <c r="J15" s="4"/>
    </row>
    <row r="16" spans="1:12" x14ac:dyDescent="0.3">
      <c r="A16" s="7">
        <v>0.12680084182647988</v>
      </c>
      <c r="B16" s="7">
        <v>-0.18312084648641758</v>
      </c>
      <c r="C16" s="7">
        <v>-0.34119148040190339</v>
      </c>
      <c r="D16" s="7">
        <v>-0.15563159649900626</v>
      </c>
      <c r="E16" s="7">
        <v>-0.26403722586110234</v>
      </c>
      <c r="F16" s="7">
        <v>-0.12166083251941018</v>
      </c>
      <c r="G16" s="7">
        <v>3.5924585972679779E-2</v>
      </c>
      <c r="H16" s="7">
        <v>3.5101038520224392E-2</v>
      </c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9">
        <f>AVERAGE(A7:A16)</f>
        <v>-5.0254584493814036E-2</v>
      </c>
      <c r="B18" s="9">
        <f t="shared" ref="B18:H18" si="0">AVERAGE(B7:B16)</f>
        <v>7.3152295954059809E-2</v>
      </c>
      <c r="C18" s="9">
        <f t="shared" si="0"/>
        <v>-4.8668425733922049E-3</v>
      </c>
      <c r="D18" s="9">
        <f t="shared" si="0"/>
        <v>4.8283322939823847E-2</v>
      </c>
      <c r="E18" s="9">
        <f t="shared" si="0"/>
        <v>-8.6515910879825242E-3</v>
      </c>
      <c r="F18" s="9">
        <f t="shared" si="0"/>
        <v>-5.1992424232594203E-2</v>
      </c>
      <c r="G18" s="9">
        <f t="shared" si="0"/>
        <v>3.4449067243258469E-2</v>
      </c>
      <c r="H18" s="9">
        <f t="shared" si="0"/>
        <v>7.4137460615020245E-3</v>
      </c>
      <c r="I18" s="9" t="s">
        <v>2</v>
      </c>
      <c r="J18" s="4"/>
    </row>
    <row r="19" spans="1:10" x14ac:dyDescent="0.3">
      <c r="A19" s="9">
        <f>VAR(A7:A16)</f>
        <v>3.0375386152378472E-2</v>
      </c>
      <c r="B19" s="9">
        <f t="shared" ref="B19:H19" si="1">VAR(B7:B16)</f>
        <v>7.088291252921454E-2</v>
      </c>
      <c r="C19" s="9">
        <f t="shared" si="1"/>
        <v>5.9608552146020705E-2</v>
      </c>
      <c r="D19" s="9">
        <f t="shared" si="1"/>
        <v>2.2528143036852841E-2</v>
      </c>
      <c r="E19" s="9">
        <f t="shared" si="1"/>
        <v>2.9214375828505851E-2</v>
      </c>
      <c r="F19" s="9">
        <f t="shared" si="1"/>
        <v>4.0705573255760401E-2</v>
      </c>
      <c r="G19" s="9">
        <f t="shared" si="1"/>
        <v>2.1151965246064216E-2</v>
      </c>
      <c r="H19" s="9">
        <f t="shared" si="1"/>
        <v>4.2000048365139681E-2</v>
      </c>
      <c r="I19" s="9" t="s">
        <v>3</v>
      </c>
      <c r="J19" s="4"/>
    </row>
    <row r="20" spans="1:10" x14ac:dyDescent="0.3">
      <c r="A20" s="3">
        <f>(A18-$D$1)^2</f>
        <v>3.1580138183248917E-3</v>
      </c>
      <c r="B20" s="3">
        <f t="shared" ref="B20:G20" si="2">(B18-$D$1)^2</f>
        <v>4.5172744612996148E-3</v>
      </c>
      <c r="C20" s="3">
        <f t="shared" si="2"/>
        <v>1.1682294375282827E-4</v>
      </c>
      <c r="D20" s="3">
        <f t="shared" si="2"/>
        <v>1.7928194922836442E-3</v>
      </c>
      <c r="E20" s="3">
        <f t="shared" si="2"/>
        <v>2.1296191861747745E-4</v>
      </c>
      <c r="F20" s="3">
        <f t="shared" si="2"/>
        <v>3.3563539129101332E-3</v>
      </c>
      <c r="G20" s="3">
        <f t="shared" si="2"/>
        <v>8.126743358692907E-4</v>
      </c>
      <c r="H20" s="3">
        <f>(H18-$D$1)^2</f>
        <v>2.1671441696309328E-6</v>
      </c>
      <c r="I20" s="3">
        <f>SUM(A20:H20)</f>
        <v>1.3969088027227508E-2</v>
      </c>
    </row>
  </sheetData>
  <mergeCells count="2">
    <mergeCell ref="G1:G2"/>
    <mergeCell ref="I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1A22-97B2-4D15-A949-86AD2FBB5609}">
  <dimension ref="A1:CA123"/>
  <sheetViews>
    <sheetView topLeftCell="A19" zoomScale="70" zoomScaleNormal="25" workbookViewId="0">
      <selection activeCell="T30" sqref="T30:Y30"/>
    </sheetView>
  </sheetViews>
  <sheetFormatPr defaultRowHeight="14.4" x14ac:dyDescent="0.3"/>
  <cols>
    <col min="3" max="3" width="10.44140625" customWidth="1"/>
    <col min="4" max="4" width="13.109375" customWidth="1"/>
    <col min="5" max="5" width="10.109375" customWidth="1"/>
    <col min="7" max="7" width="9.5546875" customWidth="1"/>
    <col min="9" max="9" width="15.109375" customWidth="1"/>
    <col min="10" max="10" width="10" customWidth="1"/>
    <col min="11" max="11" width="10.109375" customWidth="1"/>
    <col min="17" max="17" width="8.33203125" customWidth="1"/>
    <col min="18" max="18" width="12.109375" customWidth="1"/>
    <col min="19" max="19" width="11.88671875" customWidth="1"/>
    <col min="20" max="20" width="13.88671875" customWidth="1"/>
    <col min="21" max="21" width="11" customWidth="1"/>
  </cols>
  <sheetData>
    <row r="1" spans="1:17" x14ac:dyDescent="0.3">
      <c r="A1" s="14" t="s">
        <v>17</v>
      </c>
      <c r="B1" s="18">
        <v>20</v>
      </c>
      <c r="C1" s="37" t="s">
        <v>23</v>
      </c>
      <c r="D1" s="39"/>
      <c r="E1" s="38"/>
      <c r="F1" s="3">
        <f>(80+1)/2</f>
        <v>40.5</v>
      </c>
      <c r="G1" s="24" t="s">
        <v>31</v>
      </c>
      <c r="H1" s="25">
        <f>_xlfn.CHISQ.INV(0.95,7)</f>
        <v>14.067140449340165</v>
      </c>
    </row>
    <row r="2" spans="1:17" x14ac:dyDescent="0.3">
      <c r="A2" s="14" t="s">
        <v>18</v>
      </c>
      <c r="B2" s="18">
        <v>0.4</v>
      </c>
      <c r="C2" s="14" t="s">
        <v>25</v>
      </c>
      <c r="D2" s="23">
        <f>(12/(80*81))*SUM(A31:H31)</f>
        <v>17.702592592592595</v>
      </c>
      <c r="E2" s="2" t="s">
        <v>30</v>
      </c>
      <c r="F2" s="22">
        <f>D2/(1-(SUM(J18:Q18)/(80^3 - 80)  )  )</f>
        <v>17.710480523439884</v>
      </c>
      <c r="G2" s="41" t="s">
        <v>32</v>
      </c>
      <c r="H2" s="41"/>
      <c r="I2" s="41"/>
      <c r="J2" s="41"/>
      <c r="K2" s="41"/>
    </row>
    <row r="5" spans="1:17" x14ac:dyDescent="0.3">
      <c r="A5" s="40" t="s">
        <v>19</v>
      </c>
      <c r="B5" s="40"/>
      <c r="C5" s="40"/>
      <c r="J5" s="40" t="s">
        <v>26</v>
      </c>
      <c r="K5" s="40"/>
    </row>
    <row r="6" spans="1:17" x14ac:dyDescent="0.3">
      <c r="A6" s="6">
        <v>3</v>
      </c>
      <c r="B6" s="6">
        <v>7</v>
      </c>
      <c r="C6" s="6">
        <v>4</v>
      </c>
      <c r="D6" s="6">
        <v>8</v>
      </c>
      <c r="E6" s="6">
        <v>8</v>
      </c>
      <c r="F6" s="6">
        <v>8</v>
      </c>
      <c r="G6" s="6">
        <v>14</v>
      </c>
      <c r="H6" s="6">
        <v>9</v>
      </c>
      <c r="J6" s="6">
        <f t="shared" ref="J6:J15" si="0">_xlfn.RANK.AVG(A6,$A$6:$H$15,1)</f>
        <v>2.5</v>
      </c>
      <c r="K6" s="6">
        <f t="shared" ref="K6:K15" si="1">_xlfn.RANK.AVG(B6,$A$6:$H$15,1)</f>
        <v>30.5</v>
      </c>
      <c r="L6" s="6">
        <f t="shared" ref="L6:L15" si="2">_xlfn.RANK.AVG(C6,$A$6:$H$15,1)</f>
        <v>5.5</v>
      </c>
      <c r="M6" s="6">
        <f t="shared" ref="M6:M15" si="3">_xlfn.RANK.AVG(D6,$A$6:$H$15,1)</f>
        <v>47.5</v>
      </c>
      <c r="N6" s="6">
        <f t="shared" ref="N6:N15" si="4">_xlfn.RANK.AVG(E6,$A$6:$H$15,1)</f>
        <v>47.5</v>
      </c>
      <c r="O6" s="6">
        <f t="shared" ref="O6:O15" si="5">_xlfn.RANK.AVG(F6,$A$6:$H$15,1)</f>
        <v>47.5</v>
      </c>
      <c r="P6" s="6">
        <f t="shared" ref="P6:P15" si="6">_xlfn.RANK.AVG(G6,$A$6:$H$15,1)</f>
        <v>80</v>
      </c>
      <c r="Q6" s="6">
        <f t="shared" ref="Q6:Q15" si="7">_xlfn.RANK.AVG(H6,$A$6:$H$15,1)</f>
        <v>62.5</v>
      </c>
    </row>
    <row r="7" spans="1:17" x14ac:dyDescent="0.3">
      <c r="A7" s="6">
        <v>4</v>
      </c>
      <c r="B7" s="6">
        <v>10</v>
      </c>
      <c r="C7" s="6">
        <v>7</v>
      </c>
      <c r="D7" s="6">
        <v>6</v>
      </c>
      <c r="E7" s="6">
        <v>7</v>
      </c>
      <c r="F7" s="6">
        <v>9</v>
      </c>
      <c r="G7" s="6">
        <v>5</v>
      </c>
      <c r="H7" s="6">
        <v>8</v>
      </c>
      <c r="J7" s="6">
        <f t="shared" si="0"/>
        <v>5.5</v>
      </c>
      <c r="K7" s="6">
        <f t="shared" si="1"/>
        <v>70</v>
      </c>
      <c r="L7" s="6">
        <f t="shared" si="2"/>
        <v>30.5</v>
      </c>
      <c r="M7" s="6">
        <f t="shared" si="3"/>
        <v>17</v>
      </c>
      <c r="N7" s="6">
        <f t="shared" si="4"/>
        <v>30.5</v>
      </c>
      <c r="O7" s="6">
        <f t="shared" si="5"/>
        <v>62.5</v>
      </c>
      <c r="P7" s="6">
        <f t="shared" si="6"/>
        <v>8.5</v>
      </c>
      <c r="Q7" s="6">
        <f t="shared" si="7"/>
        <v>47.5</v>
      </c>
    </row>
    <row r="8" spans="1:17" x14ac:dyDescent="0.3">
      <c r="A8" s="6">
        <v>5</v>
      </c>
      <c r="B8" s="6">
        <v>5</v>
      </c>
      <c r="C8" s="6">
        <v>6</v>
      </c>
      <c r="D8" s="6">
        <v>6</v>
      </c>
      <c r="E8" s="6">
        <v>7</v>
      </c>
      <c r="F8" s="6">
        <v>6</v>
      </c>
      <c r="G8" s="6">
        <v>6</v>
      </c>
      <c r="H8" s="6">
        <v>10</v>
      </c>
      <c r="J8" s="6">
        <f t="shared" si="0"/>
        <v>8.5</v>
      </c>
      <c r="K8" s="6">
        <f t="shared" si="1"/>
        <v>8.5</v>
      </c>
      <c r="L8" s="6">
        <f t="shared" si="2"/>
        <v>17</v>
      </c>
      <c r="M8" s="6">
        <f t="shared" si="3"/>
        <v>17</v>
      </c>
      <c r="N8" s="6">
        <f t="shared" si="4"/>
        <v>30.5</v>
      </c>
      <c r="O8" s="6">
        <f t="shared" si="5"/>
        <v>17</v>
      </c>
      <c r="P8" s="6">
        <f t="shared" si="6"/>
        <v>17</v>
      </c>
      <c r="Q8" s="6">
        <f t="shared" si="7"/>
        <v>70</v>
      </c>
    </row>
    <row r="9" spans="1:17" x14ac:dyDescent="0.3">
      <c r="A9" s="6">
        <v>6</v>
      </c>
      <c r="B9" s="6">
        <v>7</v>
      </c>
      <c r="C9" s="6">
        <v>11</v>
      </c>
      <c r="D9" s="6">
        <v>9</v>
      </c>
      <c r="E9" s="6">
        <v>11</v>
      </c>
      <c r="F9" s="6">
        <v>7</v>
      </c>
      <c r="G9" s="6">
        <v>6</v>
      </c>
      <c r="H9" s="6">
        <v>7</v>
      </c>
      <c r="J9" s="6">
        <f t="shared" si="0"/>
        <v>17</v>
      </c>
      <c r="K9" s="6">
        <f t="shared" si="1"/>
        <v>30.5</v>
      </c>
      <c r="L9" s="6">
        <f t="shared" si="2"/>
        <v>75.5</v>
      </c>
      <c r="M9" s="6">
        <f t="shared" si="3"/>
        <v>62.5</v>
      </c>
      <c r="N9" s="6">
        <f t="shared" si="4"/>
        <v>75.5</v>
      </c>
      <c r="O9" s="6">
        <f t="shared" si="5"/>
        <v>30.5</v>
      </c>
      <c r="P9" s="6">
        <f t="shared" si="6"/>
        <v>17</v>
      </c>
      <c r="Q9" s="6">
        <f t="shared" si="7"/>
        <v>30.5</v>
      </c>
    </row>
    <row r="10" spans="1:17" x14ac:dyDescent="0.3">
      <c r="A10" s="6">
        <v>7</v>
      </c>
      <c r="B10" s="6">
        <v>9</v>
      </c>
      <c r="C10" s="6">
        <v>9</v>
      </c>
      <c r="D10" s="6">
        <v>3</v>
      </c>
      <c r="E10" s="6">
        <v>6</v>
      </c>
      <c r="F10" s="6">
        <v>8</v>
      </c>
      <c r="G10" s="6">
        <v>8</v>
      </c>
      <c r="H10" s="6">
        <v>11</v>
      </c>
      <c r="J10" s="6">
        <f t="shared" si="0"/>
        <v>30.5</v>
      </c>
      <c r="K10" s="6">
        <f t="shared" si="1"/>
        <v>62.5</v>
      </c>
      <c r="L10" s="6">
        <f t="shared" si="2"/>
        <v>62.5</v>
      </c>
      <c r="M10" s="6">
        <f t="shared" si="3"/>
        <v>2.5</v>
      </c>
      <c r="N10" s="6">
        <f t="shared" si="4"/>
        <v>17</v>
      </c>
      <c r="O10" s="6">
        <f t="shared" si="5"/>
        <v>47.5</v>
      </c>
      <c r="P10" s="6">
        <f t="shared" si="6"/>
        <v>47.5</v>
      </c>
      <c r="Q10" s="6">
        <f t="shared" si="7"/>
        <v>75.5</v>
      </c>
    </row>
    <row r="11" spans="1:17" x14ac:dyDescent="0.3">
      <c r="A11" s="6">
        <v>7</v>
      </c>
      <c r="B11" s="6">
        <v>10</v>
      </c>
      <c r="C11" s="6">
        <v>8</v>
      </c>
      <c r="D11" s="6">
        <v>6</v>
      </c>
      <c r="E11" s="6">
        <v>8</v>
      </c>
      <c r="F11" s="6">
        <v>12</v>
      </c>
      <c r="G11" s="6">
        <v>8</v>
      </c>
      <c r="H11" s="6">
        <v>11</v>
      </c>
      <c r="J11" s="6">
        <f t="shared" si="0"/>
        <v>30.5</v>
      </c>
      <c r="K11" s="6">
        <f t="shared" si="1"/>
        <v>70</v>
      </c>
      <c r="L11" s="6">
        <f t="shared" si="2"/>
        <v>47.5</v>
      </c>
      <c r="M11" s="6">
        <f t="shared" si="3"/>
        <v>17</v>
      </c>
      <c r="N11" s="6">
        <f t="shared" si="4"/>
        <v>47.5</v>
      </c>
      <c r="O11" s="6">
        <f t="shared" si="5"/>
        <v>79</v>
      </c>
      <c r="P11" s="6">
        <f t="shared" si="6"/>
        <v>47.5</v>
      </c>
      <c r="Q11" s="6">
        <f t="shared" si="7"/>
        <v>75.5</v>
      </c>
    </row>
    <row r="12" spans="1:17" x14ac:dyDescent="0.3">
      <c r="A12" s="6">
        <v>7</v>
      </c>
      <c r="B12" s="6">
        <v>8</v>
      </c>
      <c r="C12" s="6">
        <v>9</v>
      </c>
      <c r="D12" s="6">
        <v>8</v>
      </c>
      <c r="E12" s="6">
        <v>6</v>
      </c>
      <c r="F12" s="6">
        <v>7</v>
      </c>
      <c r="G12" s="6">
        <v>8</v>
      </c>
      <c r="H12" s="6">
        <v>8</v>
      </c>
      <c r="J12" s="6">
        <f t="shared" si="0"/>
        <v>30.5</v>
      </c>
      <c r="K12" s="6">
        <f t="shared" si="1"/>
        <v>47.5</v>
      </c>
      <c r="L12" s="6">
        <f t="shared" si="2"/>
        <v>62.5</v>
      </c>
      <c r="M12" s="6">
        <f t="shared" si="3"/>
        <v>47.5</v>
      </c>
      <c r="N12" s="6">
        <f t="shared" si="4"/>
        <v>17</v>
      </c>
      <c r="O12" s="6">
        <f t="shared" si="5"/>
        <v>30.5</v>
      </c>
      <c r="P12" s="6">
        <f t="shared" si="6"/>
        <v>47.5</v>
      </c>
      <c r="Q12" s="6">
        <f t="shared" si="7"/>
        <v>47.5</v>
      </c>
    </row>
    <row r="13" spans="1:17" x14ac:dyDescent="0.3">
      <c r="A13" s="6">
        <v>8</v>
      </c>
      <c r="B13" s="6">
        <v>11</v>
      </c>
      <c r="C13" s="6">
        <v>8</v>
      </c>
      <c r="D13" s="6">
        <v>7</v>
      </c>
      <c r="E13" s="6">
        <v>8</v>
      </c>
      <c r="F13" s="6">
        <v>6</v>
      </c>
      <c r="G13" s="6">
        <v>3</v>
      </c>
      <c r="H13" s="6">
        <v>5</v>
      </c>
      <c r="J13" s="6">
        <f t="shared" si="0"/>
        <v>47.5</v>
      </c>
      <c r="K13" s="6">
        <f t="shared" si="1"/>
        <v>75.5</v>
      </c>
      <c r="L13" s="6">
        <f t="shared" si="2"/>
        <v>47.5</v>
      </c>
      <c r="M13" s="6">
        <f t="shared" si="3"/>
        <v>30.5</v>
      </c>
      <c r="N13" s="6">
        <f t="shared" si="4"/>
        <v>47.5</v>
      </c>
      <c r="O13" s="6">
        <f t="shared" si="5"/>
        <v>17</v>
      </c>
      <c r="P13" s="6">
        <f t="shared" si="6"/>
        <v>2.5</v>
      </c>
      <c r="Q13" s="6">
        <f t="shared" si="7"/>
        <v>8.5</v>
      </c>
    </row>
    <row r="14" spans="1:17" x14ac:dyDescent="0.3">
      <c r="A14" s="6">
        <v>8</v>
      </c>
      <c r="B14" s="6">
        <v>8</v>
      </c>
      <c r="C14" s="6">
        <v>7</v>
      </c>
      <c r="D14" s="6">
        <v>8</v>
      </c>
      <c r="E14" s="6">
        <v>9</v>
      </c>
      <c r="F14" s="6">
        <v>9</v>
      </c>
      <c r="G14" s="6">
        <v>8</v>
      </c>
      <c r="H14" s="6">
        <v>10</v>
      </c>
      <c r="J14" s="6">
        <f t="shared" si="0"/>
        <v>47.5</v>
      </c>
      <c r="K14" s="6">
        <f t="shared" si="1"/>
        <v>47.5</v>
      </c>
      <c r="L14" s="6">
        <f t="shared" si="2"/>
        <v>30.5</v>
      </c>
      <c r="M14" s="6">
        <f t="shared" si="3"/>
        <v>47.5</v>
      </c>
      <c r="N14" s="6">
        <f t="shared" si="4"/>
        <v>62.5</v>
      </c>
      <c r="O14" s="6">
        <f t="shared" si="5"/>
        <v>62.5</v>
      </c>
      <c r="P14" s="6">
        <f t="shared" si="6"/>
        <v>47.5</v>
      </c>
      <c r="Q14" s="6">
        <f t="shared" si="7"/>
        <v>70</v>
      </c>
    </row>
    <row r="15" spans="1:17" x14ac:dyDescent="0.3">
      <c r="A15" s="6">
        <v>9</v>
      </c>
      <c r="B15" s="6">
        <v>9</v>
      </c>
      <c r="C15" s="6">
        <v>3</v>
      </c>
      <c r="D15" s="6">
        <v>7</v>
      </c>
      <c r="E15" s="6">
        <v>10</v>
      </c>
      <c r="F15" s="6">
        <v>6</v>
      </c>
      <c r="G15" s="6">
        <v>6</v>
      </c>
      <c r="H15" s="6">
        <v>11</v>
      </c>
      <c r="J15" s="6">
        <f t="shared" si="0"/>
        <v>62.5</v>
      </c>
      <c r="K15" s="6">
        <f t="shared" si="1"/>
        <v>62.5</v>
      </c>
      <c r="L15" s="6">
        <f t="shared" si="2"/>
        <v>2.5</v>
      </c>
      <c r="M15" s="6">
        <f t="shared" si="3"/>
        <v>30.5</v>
      </c>
      <c r="N15" s="6">
        <f t="shared" si="4"/>
        <v>70</v>
      </c>
      <c r="O15" s="6">
        <f t="shared" si="5"/>
        <v>17</v>
      </c>
      <c r="P15" s="6">
        <f t="shared" si="6"/>
        <v>17</v>
      </c>
      <c r="Q15" s="6">
        <f t="shared" si="7"/>
        <v>75.5</v>
      </c>
    </row>
    <row r="17" spans="1:25" x14ac:dyDescent="0.3">
      <c r="A17" s="40" t="s">
        <v>20</v>
      </c>
      <c r="B17" s="40"/>
      <c r="C17" s="40"/>
      <c r="J17" s="5">
        <v>2</v>
      </c>
      <c r="K17" s="5">
        <v>4</v>
      </c>
      <c r="L17" s="5">
        <v>3</v>
      </c>
      <c r="M17" s="5">
        <v>3</v>
      </c>
      <c r="N17" s="5">
        <v>3</v>
      </c>
      <c r="O17" s="5">
        <v>4</v>
      </c>
      <c r="P17" s="5">
        <v>2</v>
      </c>
      <c r="Q17" s="5">
        <v>3</v>
      </c>
      <c r="R17" s="13" t="s">
        <v>28</v>
      </c>
    </row>
    <row r="18" spans="1:25" x14ac:dyDescent="0.3">
      <c r="A18" s="6">
        <f>RANK(A6,$A$6:$H$15,1)</f>
        <v>1</v>
      </c>
      <c r="B18" s="6">
        <f t="shared" ref="B18:H18" si="8">RANK(B6,$A$6:$H$15,1)</f>
        <v>24</v>
      </c>
      <c r="C18" s="6">
        <f t="shared" si="8"/>
        <v>5</v>
      </c>
      <c r="D18" s="6">
        <f t="shared" si="8"/>
        <v>38</v>
      </c>
      <c r="E18" s="6">
        <f t="shared" si="8"/>
        <v>38</v>
      </c>
      <c r="F18" s="6">
        <f t="shared" si="8"/>
        <v>38</v>
      </c>
      <c r="G18" s="6">
        <f t="shared" si="8"/>
        <v>80</v>
      </c>
      <c r="H18" s="6">
        <f t="shared" si="8"/>
        <v>58</v>
      </c>
      <c r="J18" s="5">
        <f>J17^3  -J17</f>
        <v>6</v>
      </c>
      <c r="K18" s="5">
        <f t="shared" ref="K18:Q18" si="9">K17^3  -K17</f>
        <v>60</v>
      </c>
      <c r="L18" s="5">
        <f t="shared" si="9"/>
        <v>24</v>
      </c>
      <c r="M18" s="5">
        <f t="shared" si="9"/>
        <v>24</v>
      </c>
      <c r="N18" s="5">
        <f t="shared" si="9"/>
        <v>24</v>
      </c>
      <c r="O18" s="5">
        <f t="shared" si="9"/>
        <v>60</v>
      </c>
      <c r="P18" s="5">
        <f t="shared" si="9"/>
        <v>6</v>
      </c>
      <c r="Q18" s="5">
        <f t="shared" si="9"/>
        <v>24</v>
      </c>
      <c r="R18" s="13" t="s">
        <v>29</v>
      </c>
    </row>
    <row r="19" spans="1:25" x14ac:dyDescent="0.3">
      <c r="A19" s="6">
        <f t="shared" ref="A19:H27" si="10">RANK(A7,$A$6:$H$15,1)</f>
        <v>5</v>
      </c>
      <c r="B19" s="6">
        <f t="shared" si="10"/>
        <v>68</v>
      </c>
      <c r="C19" s="6">
        <f t="shared" si="10"/>
        <v>24</v>
      </c>
      <c r="D19" s="6">
        <f t="shared" si="10"/>
        <v>11</v>
      </c>
      <c r="E19" s="6">
        <f t="shared" si="10"/>
        <v>24</v>
      </c>
      <c r="F19" s="6">
        <f t="shared" si="10"/>
        <v>58</v>
      </c>
      <c r="G19" s="6">
        <f t="shared" si="10"/>
        <v>7</v>
      </c>
      <c r="H19" s="6">
        <f t="shared" si="10"/>
        <v>38</v>
      </c>
      <c r="J19" s="21"/>
    </row>
    <row r="20" spans="1:25" x14ac:dyDescent="0.3">
      <c r="A20" s="6">
        <f t="shared" si="10"/>
        <v>7</v>
      </c>
      <c r="B20" s="6">
        <f t="shared" si="10"/>
        <v>7</v>
      </c>
      <c r="C20" s="6">
        <f t="shared" si="10"/>
        <v>11</v>
      </c>
      <c r="D20" s="6">
        <f t="shared" si="10"/>
        <v>11</v>
      </c>
      <c r="E20" s="6">
        <f t="shared" si="10"/>
        <v>24</v>
      </c>
      <c r="F20" s="6">
        <f t="shared" si="10"/>
        <v>11</v>
      </c>
      <c r="G20" s="6">
        <f t="shared" si="10"/>
        <v>11</v>
      </c>
      <c r="H20" s="6">
        <f t="shared" si="10"/>
        <v>68</v>
      </c>
      <c r="J20" s="21"/>
    </row>
    <row r="21" spans="1:25" x14ac:dyDescent="0.3">
      <c r="A21" s="6">
        <f t="shared" si="10"/>
        <v>11</v>
      </c>
      <c r="B21" s="6">
        <f t="shared" si="10"/>
        <v>24</v>
      </c>
      <c r="C21" s="6">
        <f t="shared" si="10"/>
        <v>73</v>
      </c>
      <c r="D21" s="6">
        <f t="shared" si="10"/>
        <v>58</v>
      </c>
      <c r="E21" s="6">
        <f t="shared" si="10"/>
        <v>73</v>
      </c>
      <c r="F21" s="6">
        <f t="shared" si="10"/>
        <v>24</v>
      </c>
      <c r="G21" s="6">
        <f t="shared" si="10"/>
        <v>11</v>
      </c>
      <c r="H21" s="6">
        <f t="shared" si="10"/>
        <v>24</v>
      </c>
    </row>
    <row r="22" spans="1:25" x14ac:dyDescent="0.3">
      <c r="A22" s="6">
        <f t="shared" si="10"/>
        <v>24</v>
      </c>
      <c r="B22" s="6">
        <f t="shared" si="10"/>
        <v>58</v>
      </c>
      <c r="C22" s="6">
        <f t="shared" si="10"/>
        <v>58</v>
      </c>
      <c r="D22" s="6">
        <f t="shared" si="10"/>
        <v>1</v>
      </c>
      <c r="E22" s="6">
        <f t="shared" si="10"/>
        <v>11</v>
      </c>
      <c r="F22" s="6">
        <f t="shared" si="10"/>
        <v>38</v>
      </c>
      <c r="G22" s="6">
        <f t="shared" si="10"/>
        <v>38</v>
      </c>
      <c r="H22" s="6">
        <f t="shared" si="10"/>
        <v>73</v>
      </c>
    </row>
    <row r="23" spans="1:25" x14ac:dyDescent="0.3">
      <c r="A23" s="6">
        <f t="shared" si="10"/>
        <v>24</v>
      </c>
      <c r="B23" s="6">
        <f t="shared" si="10"/>
        <v>68</v>
      </c>
      <c r="C23" s="6">
        <f t="shared" si="10"/>
        <v>38</v>
      </c>
      <c r="D23" s="6">
        <f t="shared" si="10"/>
        <v>11</v>
      </c>
      <c r="E23" s="6">
        <f t="shared" si="10"/>
        <v>38</v>
      </c>
      <c r="F23" s="6">
        <f t="shared" si="10"/>
        <v>79</v>
      </c>
      <c r="G23" s="6">
        <f t="shared" si="10"/>
        <v>38</v>
      </c>
      <c r="H23" s="6">
        <f t="shared" si="10"/>
        <v>73</v>
      </c>
      <c r="J23" s="21"/>
    </row>
    <row r="24" spans="1:25" x14ac:dyDescent="0.3">
      <c r="A24" s="6">
        <f t="shared" si="10"/>
        <v>24</v>
      </c>
      <c r="B24" s="6">
        <f t="shared" si="10"/>
        <v>38</v>
      </c>
      <c r="C24" s="6">
        <f t="shared" si="10"/>
        <v>58</v>
      </c>
      <c r="D24" s="6">
        <f t="shared" si="10"/>
        <v>38</v>
      </c>
      <c r="E24" s="6">
        <f t="shared" si="10"/>
        <v>11</v>
      </c>
      <c r="F24" s="6">
        <f t="shared" si="10"/>
        <v>24</v>
      </c>
      <c r="G24" s="6">
        <f t="shared" si="10"/>
        <v>38</v>
      </c>
      <c r="H24" s="6">
        <f t="shared" si="10"/>
        <v>38</v>
      </c>
      <c r="J24" s="21"/>
      <c r="R24" s="37" t="s">
        <v>140</v>
      </c>
      <c r="S24" s="39"/>
      <c r="T24" s="38"/>
      <c r="U24" s="5">
        <f>SUM(L31:R31)</f>
        <v>1557.5</v>
      </c>
    </row>
    <row r="25" spans="1:25" x14ac:dyDescent="0.3">
      <c r="A25" s="6">
        <f t="shared" si="10"/>
        <v>38</v>
      </c>
      <c r="B25" s="6">
        <f t="shared" si="10"/>
        <v>73</v>
      </c>
      <c r="C25" s="6">
        <f t="shared" si="10"/>
        <v>38</v>
      </c>
      <c r="D25" s="6">
        <f t="shared" si="10"/>
        <v>24</v>
      </c>
      <c r="E25" s="6">
        <f t="shared" si="10"/>
        <v>38</v>
      </c>
      <c r="F25" s="6">
        <f t="shared" si="10"/>
        <v>11</v>
      </c>
      <c r="G25" s="6">
        <f t="shared" si="10"/>
        <v>1</v>
      </c>
      <c r="H25" s="6">
        <f t="shared" si="10"/>
        <v>7</v>
      </c>
      <c r="J25" s="21"/>
      <c r="R25" s="37" t="s">
        <v>141</v>
      </c>
      <c r="S25" s="39"/>
      <c r="T25" s="38"/>
      <c r="U25" s="5">
        <f>0.25*(80^2-80)</f>
        <v>1580</v>
      </c>
    </row>
    <row r="26" spans="1:25" x14ac:dyDescent="0.3">
      <c r="A26" s="6">
        <f t="shared" si="10"/>
        <v>38</v>
      </c>
      <c r="B26" s="6">
        <f t="shared" si="10"/>
        <v>38</v>
      </c>
      <c r="C26" s="6">
        <f t="shared" si="10"/>
        <v>24</v>
      </c>
      <c r="D26" s="6">
        <f t="shared" si="10"/>
        <v>38</v>
      </c>
      <c r="E26" s="6">
        <f t="shared" si="10"/>
        <v>58</v>
      </c>
      <c r="F26" s="6">
        <f t="shared" si="10"/>
        <v>58</v>
      </c>
      <c r="G26" s="6">
        <f t="shared" si="10"/>
        <v>38</v>
      </c>
      <c r="H26" s="6">
        <f t="shared" si="10"/>
        <v>68</v>
      </c>
      <c r="J26" s="21"/>
      <c r="R26" s="37" t="s">
        <v>142</v>
      </c>
      <c r="S26" s="39"/>
      <c r="T26" s="38"/>
      <c r="U26" s="5">
        <f>1/72*(80^2 *(2*80+3)-SUM(10^2 * (2*10+3)))</f>
        <v>14456.944444444443</v>
      </c>
    </row>
    <row r="27" spans="1:25" x14ac:dyDescent="0.3">
      <c r="A27" s="6">
        <f t="shared" si="10"/>
        <v>58</v>
      </c>
      <c r="B27" s="6">
        <f t="shared" si="10"/>
        <v>58</v>
      </c>
      <c r="C27" s="6">
        <f t="shared" si="10"/>
        <v>1</v>
      </c>
      <c r="D27" s="6">
        <f t="shared" si="10"/>
        <v>24</v>
      </c>
      <c r="E27" s="6">
        <f t="shared" si="10"/>
        <v>68</v>
      </c>
      <c r="F27" s="6">
        <f t="shared" si="10"/>
        <v>11</v>
      </c>
      <c r="G27" s="6">
        <f t="shared" si="10"/>
        <v>11</v>
      </c>
      <c r="H27" s="6">
        <f t="shared" si="10"/>
        <v>73</v>
      </c>
      <c r="R27" s="40" t="s">
        <v>143</v>
      </c>
      <c r="S27" s="40"/>
      <c r="T27" s="40"/>
      <c r="U27" s="25">
        <f>ABS((U24-U25)/SQRT(U26))</f>
        <v>0.18713036386697807</v>
      </c>
    </row>
    <row r="28" spans="1:25" x14ac:dyDescent="0.3">
      <c r="R28" s="40" t="s">
        <v>144</v>
      </c>
      <c r="S28" s="40"/>
      <c r="T28" s="40"/>
      <c r="U28" s="3">
        <v>1.959964</v>
      </c>
    </row>
    <row r="29" spans="1:25" x14ac:dyDescent="0.3">
      <c r="A29" s="3">
        <f>SUM(A18:A27)</f>
        <v>230</v>
      </c>
      <c r="B29" s="3">
        <f t="shared" ref="B29:H29" si="11">SUM(B18:B27)</f>
        <v>456</v>
      </c>
      <c r="C29" s="3">
        <f t="shared" si="11"/>
        <v>330</v>
      </c>
      <c r="D29" s="3">
        <f t="shared" si="11"/>
        <v>254</v>
      </c>
      <c r="E29" s="3">
        <f t="shared" si="11"/>
        <v>383</v>
      </c>
      <c r="F29" s="3">
        <f t="shared" si="11"/>
        <v>352</v>
      </c>
      <c r="G29" s="3">
        <f t="shared" si="11"/>
        <v>273</v>
      </c>
      <c r="H29" s="3">
        <f t="shared" si="11"/>
        <v>520</v>
      </c>
      <c r="I29" s="19" t="s">
        <v>21</v>
      </c>
      <c r="K29" s="37" t="s">
        <v>139</v>
      </c>
      <c r="L29" s="38"/>
    </row>
    <row r="30" spans="1:25" x14ac:dyDescent="0.3">
      <c r="A30" s="3">
        <f>AVERAGE(A18:A27)</f>
        <v>23</v>
      </c>
      <c r="B30" s="3">
        <f t="shared" ref="B30:H30" si="12">AVERAGE(B18:B27)</f>
        <v>45.6</v>
      </c>
      <c r="C30" s="3">
        <f t="shared" si="12"/>
        <v>33</v>
      </c>
      <c r="D30" s="3">
        <f t="shared" si="12"/>
        <v>25.4</v>
      </c>
      <c r="E30" s="3">
        <f t="shared" si="12"/>
        <v>38.299999999999997</v>
      </c>
      <c r="F30" s="3">
        <f t="shared" si="12"/>
        <v>35.200000000000003</v>
      </c>
      <c r="G30" s="3">
        <f t="shared" si="12"/>
        <v>27.3</v>
      </c>
      <c r="H30" s="3">
        <f t="shared" si="12"/>
        <v>52</v>
      </c>
      <c r="I30" s="19" t="s">
        <v>22</v>
      </c>
      <c r="K30" s="5"/>
      <c r="L30" s="3" t="s">
        <v>132</v>
      </c>
      <c r="M30" s="3" t="s">
        <v>133</v>
      </c>
      <c r="N30" s="3" t="s">
        <v>134</v>
      </c>
      <c r="O30" s="3" t="s">
        <v>135</v>
      </c>
      <c r="P30" s="3" t="s">
        <v>136</v>
      </c>
      <c r="Q30" s="3" t="s">
        <v>137</v>
      </c>
      <c r="R30" s="3" t="s">
        <v>138</v>
      </c>
      <c r="T30" s="41" t="s">
        <v>145</v>
      </c>
      <c r="U30" s="41"/>
      <c r="V30" s="41"/>
      <c r="W30" s="41"/>
      <c r="X30" s="41"/>
      <c r="Y30" s="41"/>
    </row>
    <row r="31" spans="1:25" x14ac:dyDescent="0.3">
      <c r="A31" s="1">
        <f>10*(A30-$F$1)^2</f>
        <v>3062.5</v>
      </c>
      <c r="B31" s="1">
        <f t="shared" ref="B31:H31" si="13">10*(B30-$F$1)^2</f>
        <v>260.10000000000014</v>
      </c>
      <c r="C31" s="1">
        <f t="shared" si="13"/>
        <v>562.5</v>
      </c>
      <c r="D31" s="1">
        <f t="shared" si="13"/>
        <v>2280.1000000000004</v>
      </c>
      <c r="E31" s="1">
        <f t="shared" si="13"/>
        <v>48.400000000000119</v>
      </c>
      <c r="F31" s="1">
        <f t="shared" si="13"/>
        <v>280.89999999999969</v>
      </c>
      <c r="G31" s="1">
        <f t="shared" si="13"/>
        <v>1742.3999999999999</v>
      </c>
      <c r="H31" s="1">
        <f t="shared" si="13"/>
        <v>1322.5</v>
      </c>
      <c r="I31" s="20" t="s">
        <v>24</v>
      </c>
      <c r="K31" s="5" t="s">
        <v>131</v>
      </c>
      <c r="L31" s="3">
        <f>SUM(A36:CA45)</f>
        <v>472.5</v>
      </c>
      <c r="M31" s="3">
        <f>SUM(A49:BQ58)</f>
        <v>228.5</v>
      </c>
      <c r="N31" s="3">
        <f>SUM(A62:BG71)</f>
        <v>269.5</v>
      </c>
      <c r="O31" s="3">
        <f>SUM(A75:AW84)</f>
        <v>258</v>
      </c>
      <c r="P31" s="3">
        <f>SUM(A88:AM97)</f>
        <v>147</v>
      </c>
      <c r="Q31" s="3">
        <f>SUM(A101:AC110)</f>
        <v>107.5</v>
      </c>
      <c r="R31" s="3">
        <f>SUM(A114:S123)</f>
        <v>74.5</v>
      </c>
    </row>
    <row r="34" spans="1:79" x14ac:dyDescent="0.3">
      <c r="C34" s="36" t="s">
        <v>40</v>
      </c>
      <c r="D34" s="36"/>
      <c r="K34" s="36" t="s">
        <v>41</v>
      </c>
      <c r="L34" s="36"/>
      <c r="S34" s="36" t="s">
        <v>42</v>
      </c>
      <c r="T34" s="36"/>
      <c r="AA34" s="36" t="s">
        <v>43</v>
      </c>
      <c r="AB34" s="36"/>
      <c r="AI34" s="36" t="s">
        <v>44</v>
      </c>
      <c r="AJ34" s="36"/>
      <c r="AQ34" s="36" t="s">
        <v>45</v>
      </c>
      <c r="AR34" s="36"/>
      <c r="AY34" s="36" t="s">
        <v>46</v>
      </c>
      <c r="AZ34" s="36"/>
      <c r="BG34" s="36" t="s">
        <v>47</v>
      </c>
      <c r="BH34" s="36"/>
      <c r="BO34" s="36" t="s">
        <v>48</v>
      </c>
      <c r="BP34" s="36"/>
      <c r="BW34" s="36" t="s">
        <v>49</v>
      </c>
      <c r="BX34" s="36"/>
    </row>
    <row r="35" spans="1:79" x14ac:dyDescent="0.3">
      <c r="A35" s="26" t="s">
        <v>33</v>
      </c>
      <c r="B35" s="26" t="s">
        <v>34</v>
      </c>
      <c r="C35" s="26" t="s">
        <v>35</v>
      </c>
      <c r="D35" s="26" t="s">
        <v>36</v>
      </c>
      <c r="E35" s="26" t="s">
        <v>37</v>
      </c>
      <c r="F35" s="26" t="s">
        <v>38</v>
      </c>
      <c r="G35" s="26" t="s">
        <v>39</v>
      </c>
      <c r="I35" s="26" t="s">
        <v>33</v>
      </c>
      <c r="J35" s="26" t="s">
        <v>34</v>
      </c>
      <c r="K35" s="26" t="s">
        <v>35</v>
      </c>
      <c r="L35" s="26" t="s">
        <v>36</v>
      </c>
      <c r="M35" s="26" t="s">
        <v>37</v>
      </c>
      <c r="N35" s="26" t="s">
        <v>38</v>
      </c>
      <c r="O35" s="26" t="s">
        <v>39</v>
      </c>
      <c r="Q35" s="26" t="s">
        <v>33</v>
      </c>
      <c r="R35" s="26" t="s">
        <v>34</v>
      </c>
      <c r="S35" s="26" t="s">
        <v>35</v>
      </c>
      <c r="T35" s="26" t="s">
        <v>36</v>
      </c>
      <c r="U35" s="26" t="s">
        <v>37</v>
      </c>
      <c r="V35" s="26" t="s">
        <v>38</v>
      </c>
      <c r="W35" s="26" t="s">
        <v>39</v>
      </c>
      <c r="Y35" s="26" t="s">
        <v>33</v>
      </c>
      <c r="Z35" s="26" t="s">
        <v>34</v>
      </c>
      <c r="AA35" s="26" t="s">
        <v>35</v>
      </c>
      <c r="AB35" s="26" t="s">
        <v>36</v>
      </c>
      <c r="AC35" s="26" t="s">
        <v>37</v>
      </c>
      <c r="AD35" s="26" t="s">
        <v>38</v>
      </c>
      <c r="AE35" s="26" t="s">
        <v>39</v>
      </c>
      <c r="AG35" s="26" t="s">
        <v>33</v>
      </c>
      <c r="AH35" s="26" t="s">
        <v>34</v>
      </c>
      <c r="AI35" s="26" t="s">
        <v>35</v>
      </c>
      <c r="AJ35" s="26" t="s">
        <v>36</v>
      </c>
      <c r="AK35" s="26" t="s">
        <v>37</v>
      </c>
      <c r="AL35" s="26" t="s">
        <v>38</v>
      </c>
      <c r="AM35" s="26" t="s">
        <v>39</v>
      </c>
      <c r="AO35" s="26" t="s">
        <v>33</v>
      </c>
      <c r="AP35" s="26" t="s">
        <v>34</v>
      </c>
      <c r="AQ35" s="26" t="s">
        <v>35</v>
      </c>
      <c r="AR35" s="26" t="s">
        <v>36</v>
      </c>
      <c r="AS35" s="26" t="s">
        <v>37</v>
      </c>
      <c r="AT35" s="26" t="s">
        <v>38</v>
      </c>
      <c r="AU35" s="26" t="s">
        <v>39</v>
      </c>
      <c r="AW35" s="26" t="s">
        <v>33</v>
      </c>
      <c r="AX35" s="26" t="s">
        <v>34</v>
      </c>
      <c r="AY35" s="26" t="s">
        <v>35</v>
      </c>
      <c r="AZ35" s="26" t="s">
        <v>36</v>
      </c>
      <c r="BA35" s="26" t="s">
        <v>37</v>
      </c>
      <c r="BB35" s="26" t="s">
        <v>38</v>
      </c>
      <c r="BC35" s="26" t="s">
        <v>39</v>
      </c>
      <c r="BE35" s="26" t="s">
        <v>33</v>
      </c>
      <c r="BF35" s="26" t="s">
        <v>34</v>
      </c>
      <c r="BG35" s="26" t="s">
        <v>35</v>
      </c>
      <c r="BH35" s="26" t="s">
        <v>36</v>
      </c>
      <c r="BI35" s="26" t="s">
        <v>37</v>
      </c>
      <c r="BJ35" s="26" t="s">
        <v>38</v>
      </c>
      <c r="BK35" s="26" t="s">
        <v>39</v>
      </c>
      <c r="BM35" s="26" t="s">
        <v>33</v>
      </c>
      <c r="BN35" s="26" t="s">
        <v>34</v>
      </c>
      <c r="BO35" s="26" t="s">
        <v>35</v>
      </c>
      <c r="BP35" s="26" t="s">
        <v>36</v>
      </c>
      <c r="BQ35" s="26" t="s">
        <v>37</v>
      </c>
      <c r="BR35" s="26" t="s">
        <v>38</v>
      </c>
      <c r="BS35" s="26" t="s">
        <v>39</v>
      </c>
      <c r="BU35" s="26" t="s">
        <v>33</v>
      </c>
      <c r="BV35" s="26" t="s">
        <v>34</v>
      </c>
      <c r="BW35" s="26" t="s">
        <v>35</v>
      </c>
      <c r="BX35" s="26" t="s">
        <v>36</v>
      </c>
      <c r="BY35" s="26" t="s">
        <v>37</v>
      </c>
      <c r="BZ35" s="26" t="s">
        <v>38</v>
      </c>
      <c r="CA35" s="26" t="s">
        <v>39</v>
      </c>
    </row>
    <row r="36" spans="1:79" x14ac:dyDescent="0.3">
      <c r="A36" s="1">
        <f t="shared" ref="A36:A44" si="14">IF($A$6&gt;B6,0,IF($A$6=B6,0.5,IF($A$6&lt;B6,1)))</f>
        <v>1</v>
      </c>
      <c r="B36" s="1">
        <f t="shared" ref="B36:F36" si="15">IF($A$6&gt;C6,0,IF($A$6=C6,0.5,IF($A$6&lt;C6,1)))</f>
        <v>1</v>
      </c>
      <c r="C36" s="1">
        <f t="shared" si="15"/>
        <v>1</v>
      </c>
      <c r="D36" s="1">
        <f t="shared" si="15"/>
        <v>1</v>
      </c>
      <c r="E36" s="1">
        <f t="shared" si="15"/>
        <v>1</v>
      </c>
      <c r="F36" s="1">
        <f t="shared" si="15"/>
        <v>1</v>
      </c>
      <c r="G36" s="1">
        <f>IF($A$6&gt;H6,0,IF($A$6=H6,0.5,IF($A$6&lt;H6,1)))</f>
        <v>1</v>
      </c>
      <c r="I36" s="1">
        <f>IF($A$7&gt;B6,0,IF($A$7=B6,0.5,IF($A$7&lt;B6,1)))</f>
        <v>1</v>
      </c>
      <c r="J36" s="1">
        <f t="shared" ref="J36:O45" si="16">IF($A$7&gt;C6,0,IF($A$7=C6,0.5,IF($A$7&lt;C6,1)))</f>
        <v>0.5</v>
      </c>
      <c r="K36" s="1">
        <f t="shared" si="16"/>
        <v>1</v>
      </c>
      <c r="L36" s="1">
        <f t="shared" si="16"/>
        <v>1</v>
      </c>
      <c r="M36" s="1">
        <f t="shared" si="16"/>
        <v>1</v>
      </c>
      <c r="N36" s="1">
        <f t="shared" si="16"/>
        <v>1</v>
      </c>
      <c r="O36" s="1">
        <f t="shared" si="16"/>
        <v>1</v>
      </c>
      <c r="Q36" s="1">
        <f>IF($A$8&gt;B6,0,IF($A$8=B6,0.5,IF($A$8&lt;B6,1)))</f>
        <v>1</v>
      </c>
      <c r="R36" s="1">
        <f t="shared" ref="R36:W45" si="17">IF($A$8&gt;C6,0,IF($A$8=C6,0.5,IF($A$8&lt;C6,1)))</f>
        <v>0</v>
      </c>
      <c r="S36" s="1">
        <f t="shared" si="17"/>
        <v>1</v>
      </c>
      <c r="T36" s="1">
        <f t="shared" si="17"/>
        <v>1</v>
      </c>
      <c r="U36" s="1">
        <f t="shared" si="17"/>
        <v>1</v>
      </c>
      <c r="V36" s="1">
        <f t="shared" si="17"/>
        <v>1</v>
      </c>
      <c r="W36" s="1">
        <f t="shared" si="17"/>
        <v>1</v>
      </c>
      <c r="Y36" s="1">
        <f>IF($A$9&gt;B6,0,IF($A$9=B6,0.5,IF($A$9&lt;B6,1)))</f>
        <v>1</v>
      </c>
      <c r="Z36" s="1">
        <f t="shared" ref="Z36:AE45" si="18">IF($A$9&gt;C6,0,IF($A$9=C6,0.5,IF($A$9&lt;C6,1)))</f>
        <v>0</v>
      </c>
      <c r="AA36" s="1">
        <f t="shared" si="18"/>
        <v>1</v>
      </c>
      <c r="AB36" s="1">
        <f t="shared" si="18"/>
        <v>1</v>
      </c>
      <c r="AC36" s="1">
        <f t="shared" si="18"/>
        <v>1</v>
      </c>
      <c r="AD36" s="1">
        <f t="shared" si="18"/>
        <v>1</v>
      </c>
      <c r="AE36" s="1">
        <f t="shared" si="18"/>
        <v>1</v>
      </c>
      <c r="AG36" s="1">
        <f>IF($A$10&gt;B6,0,IF($A$10=B6,0.5,IF($A$10&lt;B6,1)))</f>
        <v>0.5</v>
      </c>
      <c r="AH36" s="1">
        <f t="shared" ref="AH36:AM45" si="19">IF($A$10&gt;C6,0,IF($A$10=C6,0.5,IF($A$10&lt;C6,1)))</f>
        <v>0</v>
      </c>
      <c r="AI36" s="1">
        <f t="shared" si="19"/>
        <v>1</v>
      </c>
      <c r="AJ36" s="1">
        <f t="shared" si="19"/>
        <v>1</v>
      </c>
      <c r="AK36" s="1">
        <f t="shared" si="19"/>
        <v>1</v>
      </c>
      <c r="AL36" s="1">
        <f t="shared" si="19"/>
        <v>1</v>
      </c>
      <c r="AM36" s="1">
        <f t="shared" si="19"/>
        <v>1</v>
      </c>
      <c r="AO36" s="1">
        <f>IF($A$11&gt;B6,0,IF($A$11=B6,0.5,IF($A$11&lt;B6,1)))</f>
        <v>0.5</v>
      </c>
      <c r="AP36" s="1">
        <f t="shared" ref="AP36:AU45" si="20">IF($A$11&gt;C6,0,IF($A$11=C6,0.5,IF($A$11&lt;C6,1)))</f>
        <v>0</v>
      </c>
      <c r="AQ36" s="1">
        <f t="shared" si="20"/>
        <v>1</v>
      </c>
      <c r="AR36" s="1">
        <f t="shared" si="20"/>
        <v>1</v>
      </c>
      <c r="AS36" s="1">
        <f t="shared" si="20"/>
        <v>1</v>
      </c>
      <c r="AT36" s="1">
        <f t="shared" si="20"/>
        <v>1</v>
      </c>
      <c r="AU36" s="1">
        <f t="shared" si="20"/>
        <v>1</v>
      </c>
      <c r="AW36" s="1">
        <f>IF($A$12&gt;B6,0,IF($A$12=B6,0.5,IF($A$12&lt;B6,1)))</f>
        <v>0.5</v>
      </c>
      <c r="AX36" s="1">
        <f t="shared" ref="AX36:BC45" si="21">IF($A$12&gt;C6,0,IF($A$12=C6,0.5,IF($A$12&lt;C6,1)))</f>
        <v>0</v>
      </c>
      <c r="AY36" s="1">
        <f t="shared" si="21"/>
        <v>1</v>
      </c>
      <c r="AZ36" s="1">
        <f t="shared" si="21"/>
        <v>1</v>
      </c>
      <c r="BA36" s="1">
        <f t="shared" si="21"/>
        <v>1</v>
      </c>
      <c r="BB36" s="1">
        <f t="shared" si="21"/>
        <v>1</v>
      </c>
      <c r="BC36" s="1">
        <f>IF($A$12&gt;H6,0,IF($A$12=H6,0.5,IF($A$12&lt;H6,1)))</f>
        <v>1</v>
      </c>
      <c r="BE36" s="1">
        <f>IF($A$13&gt;B6,0,IF($A$13=B6,0.5,IF($A$13&lt;B6,1)))</f>
        <v>0</v>
      </c>
      <c r="BF36" s="1">
        <f t="shared" ref="BF36:BK45" si="22">IF($A$13&gt;C6,0,IF($A$13=C6,0.5,IF($A$13&lt;C6,1)))</f>
        <v>0</v>
      </c>
      <c r="BG36" s="1">
        <f t="shared" si="22"/>
        <v>0.5</v>
      </c>
      <c r="BH36" s="1">
        <f t="shared" si="22"/>
        <v>0.5</v>
      </c>
      <c r="BI36" s="1">
        <f t="shared" si="22"/>
        <v>0.5</v>
      </c>
      <c r="BJ36" s="1">
        <f t="shared" si="22"/>
        <v>1</v>
      </c>
      <c r="BK36" s="1">
        <f t="shared" si="22"/>
        <v>1</v>
      </c>
      <c r="BM36" s="1">
        <f>IF($A$14&gt;B6,0,IF($A$14=B6,0.5,IF($A$14&lt;B6,1)))</f>
        <v>0</v>
      </c>
      <c r="BN36" s="1">
        <f t="shared" ref="BN36:BS45" si="23">IF($A$14&gt;C6,0,IF($A$14=C6,0.5,IF($A$14&lt;C6,1)))</f>
        <v>0</v>
      </c>
      <c r="BO36" s="1">
        <f t="shared" si="23"/>
        <v>0.5</v>
      </c>
      <c r="BP36" s="1">
        <f t="shared" si="23"/>
        <v>0.5</v>
      </c>
      <c r="BQ36" s="1">
        <f t="shared" si="23"/>
        <v>0.5</v>
      </c>
      <c r="BR36" s="1">
        <f t="shared" si="23"/>
        <v>1</v>
      </c>
      <c r="BS36" s="1">
        <f t="shared" si="23"/>
        <v>1</v>
      </c>
      <c r="BU36" s="1">
        <f>IF($A$15&gt;B6,0,IF($A$15=B6,0.5,IF($A$15&lt;B6,1)))</f>
        <v>0</v>
      </c>
      <c r="BV36" s="1">
        <f t="shared" ref="BV36:CA45" si="24">IF($A$15&gt;C6,0,IF($A$15=C6,0.5,IF($A$15&lt;C6,1)))</f>
        <v>0</v>
      </c>
      <c r="BW36" s="1">
        <f t="shared" si="24"/>
        <v>0</v>
      </c>
      <c r="BX36" s="1">
        <f t="shared" si="24"/>
        <v>0</v>
      </c>
      <c r="BY36" s="1">
        <f t="shared" si="24"/>
        <v>0</v>
      </c>
      <c r="BZ36" s="1">
        <f t="shared" si="24"/>
        <v>1</v>
      </c>
      <c r="CA36" s="1">
        <f t="shared" si="24"/>
        <v>0.5</v>
      </c>
    </row>
    <row r="37" spans="1:79" x14ac:dyDescent="0.3">
      <c r="A37" s="1">
        <f t="shared" si="14"/>
        <v>1</v>
      </c>
      <c r="B37" s="1">
        <f t="shared" ref="A37:G45" si="25">IF($A$6&gt;C7,0,IF($A$6=C7,0.5,IF($A$6&lt;C7,1)))</f>
        <v>1</v>
      </c>
      <c r="C37" s="1">
        <f t="shared" si="25"/>
        <v>1</v>
      </c>
      <c r="D37" s="1">
        <f t="shared" si="25"/>
        <v>1</v>
      </c>
      <c r="E37" s="1">
        <f t="shared" si="25"/>
        <v>1</v>
      </c>
      <c r="F37" s="1">
        <f t="shared" si="25"/>
        <v>1</v>
      </c>
      <c r="G37" s="1">
        <f t="shared" si="25"/>
        <v>1</v>
      </c>
      <c r="I37" s="1">
        <f t="shared" ref="I37:I45" si="26">IF($A$7&gt;B7,0,IF($A$7=B7,0.5,IF($A$7&lt;B7,1)))</f>
        <v>1</v>
      </c>
      <c r="J37" s="1">
        <f t="shared" si="16"/>
        <v>1</v>
      </c>
      <c r="K37" s="1">
        <f t="shared" si="16"/>
        <v>1</v>
      </c>
      <c r="L37" s="1">
        <f t="shared" si="16"/>
        <v>1</v>
      </c>
      <c r="M37" s="1">
        <f t="shared" si="16"/>
        <v>1</v>
      </c>
      <c r="N37" s="1">
        <f t="shared" si="16"/>
        <v>1</v>
      </c>
      <c r="O37" s="1">
        <f t="shared" si="16"/>
        <v>1</v>
      </c>
      <c r="Q37" s="1">
        <f t="shared" ref="Q37:Q45" si="27">IF($A$8&gt;B7,0,IF($A$8=B7,0.5,IF($A$8&lt;B7,1)))</f>
        <v>1</v>
      </c>
      <c r="R37" s="1">
        <f t="shared" si="17"/>
        <v>1</v>
      </c>
      <c r="S37" s="1">
        <f t="shared" si="17"/>
        <v>1</v>
      </c>
      <c r="T37" s="1">
        <f t="shared" si="17"/>
        <v>1</v>
      </c>
      <c r="U37" s="1">
        <f t="shared" si="17"/>
        <v>1</v>
      </c>
      <c r="V37" s="1">
        <f t="shared" si="17"/>
        <v>0.5</v>
      </c>
      <c r="W37" s="1">
        <f t="shared" si="17"/>
        <v>1</v>
      </c>
      <c r="Y37" s="1">
        <f t="shared" ref="Y37:Y45" si="28">IF($A$9&gt;B7,0,IF($A$9=B7,0.5,IF($A$9&lt;B7,1)))</f>
        <v>1</v>
      </c>
      <c r="Z37" s="1">
        <f t="shared" si="18"/>
        <v>1</v>
      </c>
      <c r="AA37" s="1">
        <f t="shared" si="18"/>
        <v>0.5</v>
      </c>
      <c r="AB37" s="1">
        <f t="shared" si="18"/>
        <v>1</v>
      </c>
      <c r="AC37" s="1">
        <f t="shared" si="18"/>
        <v>1</v>
      </c>
      <c r="AD37" s="1">
        <f t="shared" si="18"/>
        <v>0</v>
      </c>
      <c r="AE37" s="1">
        <f t="shared" si="18"/>
        <v>1</v>
      </c>
      <c r="AG37" s="1">
        <f t="shared" ref="AG37:AG45" si="29">IF($A$10&gt;B7,0,IF($A$10=B7,0.5,IF($A$10&lt;B7,1)))</f>
        <v>1</v>
      </c>
      <c r="AH37" s="1">
        <f t="shared" si="19"/>
        <v>0.5</v>
      </c>
      <c r="AI37" s="1">
        <f t="shared" si="19"/>
        <v>0</v>
      </c>
      <c r="AJ37" s="1">
        <f t="shared" si="19"/>
        <v>0.5</v>
      </c>
      <c r="AK37" s="1">
        <f t="shared" si="19"/>
        <v>1</v>
      </c>
      <c r="AL37" s="1">
        <f t="shared" si="19"/>
        <v>0</v>
      </c>
      <c r="AM37" s="1">
        <f t="shared" si="19"/>
        <v>1</v>
      </c>
      <c r="AO37" s="1">
        <f t="shared" ref="AO37:AO45" si="30">IF($A$11&gt;B7,0,IF($A$11=B7,0.5,IF($A$11&lt;B7,1)))</f>
        <v>1</v>
      </c>
      <c r="AP37" s="1">
        <f t="shared" si="20"/>
        <v>0.5</v>
      </c>
      <c r="AQ37" s="1">
        <f t="shared" si="20"/>
        <v>0</v>
      </c>
      <c r="AR37" s="1">
        <f t="shared" si="20"/>
        <v>0.5</v>
      </c>
      <c r="AS37" s="1">
        <f t="shared" si="20"/>
        <v>1</v>
      </c>
      <c r="AT37" s="1">
        <f t="shared" si="20"/>
        <v>0</v>
      </c>
      <c r="AU37" s="1">
        <f t="shared" si="20"/>
        <v>1</v>
      </c>
      <c r="AW37" s="1">
        <f t="shared" ref="AW37:AW45" si="31">IF($A$12&gt;B7,0,IF($A$12=B7,0.5,IF($A$12&lt;B7,1)))</f>
        <v>1</v>
      </c>
      <c r="AX37" s="1">
        <f t="shared" si="21"/>
        <v>0.5</v>
      </c>
      <c r="AY37" s="1">
        <f t="shared" si="21"/>
        <v>0</v>
      </c>
      <c r="AZ37" s="1">
        <f t="shared" si="21"/>
        <v>0.5</v>
      </c>
      <c r="BA37" s="1">
        <f t="shared" si="21"/>
        <v>1</v>
      </c>
      <c r="BB37" s="1">
        <f t="shared" si="21"/>
        <v>0</v>
      </c>
      <c r="BC37" s="1">
        <f t="shared" si="21"/>
        <v>1</v>
      </c>
      <c r="BE37" s="1">
        <f t="shared" ref="BE37:BE45" si="32">IF($A$13&gt;B7,0,IF($A$13=B7,0.5,IF($A$13&lt;B7,1)))</f>
        <v>1</v>
      </c>
      <c r="BF37" s="1">
        <f t="shared" si="22"/>
        <v>0</v>
      </c>
      <c r="BG37" s="1">
        <f t="shared" si="22"/>
        <v>0</v>
      </c>
      <c r="BH37" s="1">
        <f t="shared" si="22"/>
        <v>0</v>
      </c>
      <c r="BI37" s="1">
        <f t="shared" si="22"/>
        <v>1</v>
      </c>
      <c r="BJ37" s="1">
        <f t="shared" si="22"/>
        <v>0</v>
      </c>
      <c r="BK37" s="1">
        <f t="shared" si="22"/>
        <v>0.5</v>
      </c>
      <c r="BM37" s="1">
        <f t="shared" ref="BM37:BM45" si="33">IF($A$14&gt;B7,0,IF($A$14=B7,0.5,IF($A$14&lt;B7,1)))</f>
        <v>1</v>
      </c>
      <c r="BN37" s="1">
        <f t="shared" si="23"/>
        <v>0</v>
      </c>
      <c r="BO37" s="1">
        <f t="shared" si="23"/>
        <v>0</v>
      </c>
      <c r="BP37" s="1">
        <f t="shared" si="23"/>
        <v>0</v>
      </c>
      <c r="BQ37" s="1">
        <f t="shared" si="23"/>
        <v>1</v>
      </c>
      <c r="BR37" s="1">
        <f t="shared" si="23"/>
        <v>0</v>
      </c>
      <c r="BS37" s="1">
        <f t="shared" si="23"/>
        <v>0.5</v>
      </c>
      <c r="BU37" s="1">
        <f t="shared" ref="BU37:BU45" si="34">IF($A$15&gt;B7,0,IF($A$15=B7,0.5,IF($A$15&lt;B7,1)))</f>
        <v>1</v>
      </c>
      <c r="BV37" s="1">
        <f t="shared" si="24"/>
        <v>0</v>
      </c>
      <c r="BW37" s="1">
        <f t="shared" si="24"/>
        <v>0</v>
      </c>
      <c r="BX37" s="1">
        <f t="shared" si="24"/>
        <v>0</v>
      </c>
      <c r="BY37" s="1">
        <f t="shared" si="24"/>
        <v>0.5</v>
      </c>
      <c r="BZ37" s="1">
        <f t="shared" si="24"/>
        <v>0</v>
      </c>
      <c r="CA37" s="1">
        <f t="shared" si="24"/>
        <v>0</v>
      </c>
    </row>
    <row r="38" spans="1:79" x14ac:dyDescent="0.3">
      <c r="A38" s="1">
        <f t="shared" si="14"/>
        <v>1</v>
      </c>
      <c r="B38" s="1">
        <f t="shared" si="25"/>
        <v>1</v>
      </c>
      <c r="C38" s="1">
        <f t="shared" si="25"/>
        <v>1</v>
      </c>
      <c r="D38" s="1">
        <f t="shared" si="25"/>
        <v>1</v>
      </c>
      <c r="E38" s="1">
        <f t="shared" si="25"/>
        <v>1</v>
      </c>
      <c r="F38" s="1">
        <f t="shared" si="25"/>
        <v>1</v>
      </c>
      <c r="G38" s="1">
        <f t="shared" si="25"/>
        <v>1</v>
      </c>
      <c r="I38" s="1">
        <f t="shared" si="26"/>
        <v>1</v>
      </c>
      <c r="J38" s="1">
        <f t="shared" si="16"/>
        <v>1</v>
      </c>
      <c r="K38" s="1">
        <f t="shared" si="16"/>
        <v>1</v>
      </c>
      <c r="L38" s="1">
        <f t="shared" si="16"/>
        <v>1</v>
      </c>
      <c r="M38" s="1">
        <f t="shared" si="16"/>
        <v>1</v>
      </c>
      <c r="N38" s="1">
        <f t="shared" si="16"/>
        <v>1</v>
      </c>
      <c r="O38" s="1">
        <f t="shared" si="16"/>
        <v>1</v>
      </c>
      <c r="Q38" s="1">
        <f t="shared" si="27"/>
        <v>0.5</v>
      </c>
      <c r="R38" s="1">
        <f t="shared" si="17"/>
        <v>1</v>
      </c>
      <c r="S38" s="1">
        <f t="shared" si="17"/>
        <v>1</v>
      </c>
      <c r="T38" s="1">
        <f t="shared" si="17"/>
        <v>1</v>
      </c>
      <c r="U38" s="1">
        <f t="shared" si="17"/>
        <v>1</v>
      </c>
      <c r="V38" s="1">
        <f t="shared" si="17"/>
        <v>1</v>
      </c>
      <c r="W38" s="1">
        <f t="shared" si="17"/>
        <v>1</v>
      </c>
      <c r="Y38" s="1">
        <f t="shared" si="28"/>
        <v>0</v>
      </c>
      <c r="Z38" s="1">
        <f t="shared" si="18"/>
        <v>0.5</v>
      </c>
      <c r="AA38" s="1">
        <f t="shared" si="18"/>
        <v>0.5</v>
      </c>
      <c r="AB38" s="1">
        <f t="shared" si="18"/>
        <v>1</v>
      </c>
      <c r="AC38" s="1">
        <f t="shared" si="18"/>
        <v>0.5</v>
      </c>
      <c r="AD38" s="1">
        <f t="shared" si="18"/>
        <v>0.5</v>
      </c>
      <c r="AE38" s="1">
        <f t="shared" si="18"/>
        <v>1</v>
      </c>
      <c r="AG38" s="1">
        <f t="shared" si="29"/>
        <v>0</v>
      </c>
      <c r="AH38" s="1">
        <f t="shared" si="19"/>
        <v>0</v>
      </c>
      <c r="AI38" s="1">
        <f t="shared" si="19"/>
        <v>0</v>
      </c>
      <c r="AJ38" s="1">
        <f t="shared" si="19"/>
        <v>0.5</v>
      </c>
      <c r="AK38" s="1">
        <f t="shared" si="19"/>
        <v>0</v>
      </c>
      <c r="AL38" s="1">
        <f t="shared" si="19"/>
        <v>0</v>
      </c>
      <c r="AM38" s="1">
        <f t="shared" si="19"/>
        <v>1</v>
      </c>
      <c r="AO38" s="1">
        <f t="shared" si="30"/>
        <v>0</v>
      </c>
      <c r="AP38" s="1">
        <f t="shared" si="20"/>
        <v>0</v>
      </c>
      <c r="AQ38" s="1">
        <f t="shared" si="20"/>
        <v>0</v>
      </c>
      <c r="AR38" s="1">
        <f t="shared" si="20"/>
        <v>0.5</v>
      </c>
      <c r="AS38" s="1">
        <f t="shared" si="20"/>
        <v>0</v>
      </c>
      <c r="AT38" s="1">
        <f t="shared" si="20"/>
        <v>0</v>
      </c>
      <c r="AU38" s="1">
        <f t="shared" si="20"/>
        <v>1</v>
      </c>
      <c r="AW38" s="1">
        <f t="shared" si="31"/>
        <v>0</v>
      </c>
      <c r="AX38" s="1">
        <f t="shared" si="21"/>
        <v>0</v>
      </c>
      <c r="AY38" s="1">
        <f t="shared" si="21"/>
        <v>0</v>
      </c>
      <c r="AZ38" s="1">
        <f t="shared" si="21"/>
        <v>0.5</v>
      </c>
      <c r="BA38" s="1">
        <f t="shared" si="21"/>
        <v>0</v>
      </c>
      <c r="BB38" s="1">
        <f t="shared" si="21"/>
        <v>0</v>
      </c>
      <c r="BC38" s="1">
        <f t="shared" si="21"/>
        <v>1</v>
      </c>
      <c r="BE38" s="1">
        <f t="shared" si="32"/>
        <v>0</v>
      </c>
      <c r="BF38" s="1">
        <f t="shared" si="22"/>
        <v>0</v>
      </c>
      <c r="BG38" s="1">
        <f t="shared" si="22"/>
        <v>0</v>
      </c>
      <c r="BH38" s="1">
        <f t="shared" si="22"/>
        <v>0</v>
      </c>
      <c r="BI38" s="1">
        <f t="shared" si="22"/>
        <v>0</v>
      </c>
      <c r="BJ38" s="1">
        <f t="shared" si="22"/>
        <v>0</v>
      </c>
      <c r="BK38" s="1">
        <f t="shared" si="22"/>
        <v>1</v>
      </c>
      <c r="BM38" s="1">
        <f t="shared" si="33"/>
        <v>0</v>
      </c>
      <c r="BN38" s="1">
        <f t="shared" si="23"/>
        <v>0</v>
      </c>
      <c r="BO38" s="1">
        <f t="shared" si="23"/>
        <v>0</v>
      </c>
      <c r="BP38" s="1">
        <f t="shared" si="23"/>
        <v>0</v>
      </c>
      <c r="BQ38" s="1">
        <f t="shared" si="23"/>
        <v>0</v>
      </c>
      <c r="BR38" s="1">
        <f t="shared" si="23"/>
        <v>0</v>
      </c>
      <c r="BS38" s="1">
        <f t="shared" si="23"/>
        <v>1</v>
      </c>
      <c r="BU38" s="1">
        <f t="shared" si="34"/>
        <v>0</v>
      </c>
      <c r="BV38" s="1">
        <f t="shared" si="24"/>
        <v>0</v>
      </c>
      <c r="BW38" s="1">
        <f t="shared" si="24"/>
        <v>0</v>
      </c>
      <c r="BX38" s="1">
        <f t="shared" si="24"/>
        <v>0</v>
      </c>
      <c r="BY38" s="1">
        <f t="shared" si="24"/>
        <v>0</v>
      </c>
      <c r="BZ38" s="1">
        <f t="shared" si="24"/>
        <v>0</v>
      </c>
      <c r="CA38" s="1">
        <f t="shared" si="24"/>
        <v>1</v>
      </c>
    </row>
    <row r="39" spans="1:79" x14ac:dyDescent="0.3">
      <c r="A39" s="1">
        <f t="shared" si="14"/>
        <v>1</v>
      </c>
      <c r="B39" s="1">
        <f t="shared" si="25"/>
        <v>1</v>
      </c>
      <c r="C39" s="1">
        <f t="shared" si="25"/>
        <v>1</v>
      </c>
      <c r="D39" s="1">
        <f t="shared" si="25"/>
        <v>1</v>
      </c>
      <c r="E39" s="1">
        <f t="shared" si="25"/>
        <v>1</v>
      </c>
      <c r="F39" s="1">
        <f>IF($A$6&gt;G9,0,IF($A$6=G9,0.5,IF($A$6&lt;G9,1)))</f>
        <v>1</v>
      </c>
      <c r="G39" s="1">
        <f t="shared" si="25"/>
        <v>1</v>
      </c>
      <c r="I39" s="1">
        <f t="shared" si="26"/>
        <v>1</v>
      </c>
      <c r="J39" s="1">
        <f t="shared" si="16"/>
        <v>1</v>
      </c>
      <c r="K39" s="1">
        <f t="shared" si="16"/>
        <v>1</v>
      </c>
      <c r="L39" s="1">
        <f t="shared" si="16"/>
        <v>1</v>
      </c>
      <c r="M39" s="1">
        <f t="shared" si="16"/>
        <v>1</v>
      </c>
      <c r="N39" s="1">
        <f t="shared" si="16"/>
        <v>1</v>
      </c>
      <c r="O39" s="1">
        <f t="shared" si="16"/>
        <v>1</v>
      </c>
      <c r="Q39" s="1">
        <f t="shared" si="27"/>
        <v>1</v>
      </c>
      <c r="R39" s="1">
        <f t="shared" si="17"/>
        <v>1</v>
      </c>
      <c r="S39" s="1">
        <f t="shared" si="17"/>
        <v>1</v>
      </c>
      <c r="T39" s="1">
        <f t="shared" si="17"/>
        <v>1</v>
      </c>
      <c r="U39" s="1">
        <f t="shared" si="17"/>
        <v>1</v>
      </c>
      <c r="V39" s="1">
        <f t="shared" si="17"/>
        <v>1</v>
      </c>
      <c r="W39" s="1">
        <f t="shared" si="17"/>
        <v>1</v>
      </c>
      <c r="Y39" s="1">
        <f t="shared" si="28"/>
        <v>1</v>
      </c>
      <c r="Z39" s="1">
        <f t="shared" si="18"/>
        <v>1</v>
      </c>
      <c r="AA39" s="1">
        <f t="shared" si="18"/>
        <v>1</v>
      </c>
      <c r="AB39" s="1">
        <f t="shared" si="18"/>
        <v>1</v>
      </c>
      <c r="AC39" s="1">
        <f t="shared" si="18"/>
        <v>1</v>
      </c>
      <c r="AD39" s="1">
        <f t="shared" si="18"/>
        <v>0.5</v>
      </c>
      <c r="AE39" s="1">
        <f t="shared" si="18"/>
        <v>1</v>
      </c>
      <c r="AG39" s="1">
        <f t="shared" si="29"/>
        <v>0.5</v>
      </c>
      <c r="AH39" s="1">
        <f t="shared" si="19"/>
        <v>1</v>
      </c>
      <c r="AI39" s="1">
        <f t="shared" si="19"/>
        <v>1</v>
      </c>
      <c r="AJ39" s="1">
        <f t="shared" si="19"/>
        <v>1</v>
      </c>
      <c r="AK39" s="1">
        <f t="shared" si="19"/>
        <v>0.5</v>
      </c>
      <c r="AL39" s="1">
        <f t="shared" si="19"/>
        <v>0</v>
      </c>
      <c r="AM39" s="1">
        <f t="shared" si="19"/>
        <v>0.5</v>
      </c>
      <c r="AO39" s="1">
        <f t="shared" si="30"/>
        <v>0.5</v>
      </c>
      <c r="AP39" s="1">
        <f t="shared" si="20"/>
        <v>1</v>
      </c>
      <c r="AQ39" s="1">
        <f t="shared" si="20"/>
        <v>1</v>
      </c>
      <c r="AR39" s="1">
        <f t="shared" si="20"/>
        <v>1</v>
      </c>
      <c r="AS39" s="1">
        <f t="shared" si="20"/>
        <v>0.5</v>
      </c>
      <c r="AT39" s="1">
        <f t="shared" si="20"/>
        <v>0</v>
      </c>
      <c r="AU39" s="1">
        <f t="shared" si="20"/>
        <v>0.5</v>
      </c>
      <c r="AW39" s="1">
        <f t="shared" si="31"/>
        <v>0.5</v>
      </c>
      <c r="AX39" s="1">
        <f t="shared" si="21"/>
        <v>1</v>
      </c>
      <c r="AY39" s="1">
        <f t="shared" si="21"/>
        <v>1</v>
      </c>
      <c r="AZ39" s="1">
        <f t="shared" si="21"/>
        <v>1</v>
      </c>
      <c r="BA39" s="1">
        <f t="shared" si="21"/>
        <v>0.5</v>
      </c>
      <c r="BB39" s="1">
        <f t="shared" si="21"/>
        <v>0</v>
      </c>
      <c r="BC39" s="1">
        <f t="shared" si="21"/>
        <v>0.5</v>
      </c>
      <c r="BE39" s="1">
        <f t="shared" si="32"/>
        <v>0</v>
      </c>
      <c r="BF39" s="1">
        <f t="shared" si="22"/>
        <v>1</v>
      </c>
      <c r="BG39" s="1">
        <f t="shared" si="22"/>
        <v>1</v>
      </c>
      <c r="BH39" s="1">
        <f t="shared" si="22"/>
        <v>1</v>
      </c>
      <c r="BI39" s="1">
        <f t="shared" si="22"/>
        <v>0</v>
      </c>
      <c r="BJ39" s="1">
        <f t="shared" si="22"/>
        <v>0</v>
      </c>
      <c r="BK39" s="1">
        <f t="shared" si="22"/>
        <v>0</v>
      </c>
      <c r="BM39" s="1">
        <f t="shared" si="33"/>
        <v>0</v>
      </c>
      <c r="BN39" s="1">
        <f t="shared" si="23"/>
        <v>1</v>
      </c>
      <c r="BO39" s="1">
        <f t="shared" si="23"/>
        <v>1</v>
      </c>
      <c r="BP39" s="1">
        <f t="shared" si="23"/>
        <v>1</v>
      </c>
      <c r="BQ39" s="1">
        <f t="shared" si="23"/>
        <v>0</v>
      </c>
      <c r="BR39" s="1">
        <f t="shared" si="23"/>
        <v>0</v>
      </c>
      <c r="BS39" s="1">
        <f t="shared" si="23"/>
        <v>0</v>
      </c>
      <c r="BU39" s="1">
        <f t="shared" si="34"/>
        <v>0</v>
      </c>
      <c r="BV39" s="1">
        <f t="shared" si="24"/>
        <v>1</v>
      </c>
      <c r="BW39" s="1">
        <f t="shared" si="24"/>
        <v>0.5</v>
      </c>
      <c r="BX39" s="1">
        <f t="shared" si="24"/>
        <v>1</v>
      </c>
      <c r="BY39" s="1">
        <f t="shared" si="24"/>
        <v>0</v>
      </c>
      <c r="BZ39" s="1">
        <f t="shared" si="24"/>
        <v>0</v>
      </c>
      <c r="CA39" s="1">
        <f t="shared" si="24"/>
        <v>0</v>
      </c>
    </row>
    <row r="40" spans="1:79" x14ac:dyDescent="0.3">
      <c r="A40" s="1">
        <f t="shared" si="14"/>
        <v>1</v>
      </c>
      <c r="B40" s="1">
        <f t="shared" si="25"/>
        <v>1</v>
      </c>
      <c r="C40" s="1">
        <f t="shared" si="25"/>
        <v>0.5</v>
      </c>
      <c r="D40" s="1">
        <f t="shared" si="25"/>
        <v>1</v>
      </c>
      <c r="E40" s="1">
        <f t="shared" si="25"/>
        <v>1</v>
      </c>
      <c r="F40" s="1">
        <f t="shared" si="25"/>
        <v>1</v>
      </c>
      <c r="G40" s="1">
        <f t="shared" si="25"/>
        <v>1</v>
      </c>
      <c r="I40" s="1">
        <f t="shared" si="26"/>
        <v>1</v>
      </c>
      <c r="J40" s="1">
        <f t="shared" si="16"/>
        <v>1</v>
      </c>
      <c r="K40" s="1">
        <f t="shared" si="16"/>
        <v>0</v>
      </c>
      <c r="L40" s="1">
        <f t="shared" si="16"/>
        <v>1</v>
      </c>
      <c r="M40" s="1">
        <f t="shared" si="16"/>
        <v>1</v>
      </c>
      <c r="N40" s="1">
        <f t="shared" si="16"/>
        <v>1</v>
      </c>
      <c r="O40" s="1">
        <f t="shared" si="16"/>
        <v>1</v>
      </c>
      <c r="Q40" s="1">
        <f t="shared" si="27"/>
        <v>1</v>
      </c>
      <c r="R40" s="1">
        <f t="shared" si="17"/>
        <v>1</v>
      </c>
      <c r="S40" s="1">
        <f t="shared" si="17"/>
        <v>0</v>
      </c>
      <c r="T40" s="1">
        <f t="shared" si="17"/>
        <v>1</v>
      </c>
      <c r="U40" s="1">
        <f t="shared" si="17"/>
        <v>1</v>
      </c>
      <c r="V40" s="1">
        <f t="shared" si="17"/>
        <v>1</v>
      </c>
      <c r="W40" s="1">
        <f t="shared" si="17"/>
        <v>1</v>
      </c>
      <c r="Y40" s="1">
        <f t="shared" si="28"/>
        <v>1</v>
      </c>
      <c r="Z40" s="1">
        <f t="shared" si="18"/>
        <v>1</v>
      </c>
      <c r="AA40" s="1">
        <f t="shared" si="18"/>
        <v>0</v>
      </c>
      <c r="AB40" s="1">
        <f t="shared" si="18"/>
        <v>0.5</v>
      </c>
      <c r="AC40" s="1">
        <f t="shared" si="18"/>
        <v>1</v>
      </c>
      <c r="AD40" s="1">
        <f t="shared" si="18"/>
        <v>1</v>
      </c>
      <c r="AE40" s="1">
        <f t="shared" si="18"/>
        <v>1</v>
      </c>
      <c r="AG40" s="1">
        <f t="shared" si="29"/>
        <v>1</v>
      </c>
      <c r="AH40" s="1">
        <f t="shared" si="19"/>
        <v>1</v>
      </c>
      <c r="AI40" s="1">
        <f t="shared" si="19"/>
        <v>0</v>
      </c>
      <c r="AJ40" s="1">
        <f t="shared" si="19"/>
        <v>0</v>
      </c>
      <c r="AK40" s="1">
        <f t="shared" si="19"/>
        <v>1</v>
      </c>
      <c r="AL40" s="1">
        <f t="shared" si="19"/>
        <v>1</v>
      </c>
      <c r="AM40" s="1">
        <f t="shared" si="19"/>
        <v>1</v>
      </c>
      <c r="AO40" s="1">
        <f t="shared" si="30"/>
        <v>1</v>
      </c>
      <c r="AP40" s="1">
        <f t="shared" si="20"/>
        <v>1</v>
      </c>
      <c r="AQ40" s="1">
        <f t="shared" si="20"/>
        <v>0</v>
      </c>
      <c r="AR40" s="1">
        <f t="shared" si="20"/>
        <v>0</v>
      </c>
      <c r="AS40" s="1">
        <f t="shared" si="20"/>
        <v>1</v>
      </c>
      <c r="AT40" s="1">
        <f t="shared" si="20"/>
        <v>1</v>
      </c>
      <c r="AU40" s="1">
        <f t="shared" si="20"/>
        <v>1</v>
      </c>
      <c r="AW40" s="1">
        <f t="shared" si="31"/>
        <v>1</v>
      </c>
      <c r="AX40" s="1">
        <f t="shared" si="21"/>
        <v>1</v>
      </c>
      <c r="AY40" s="1">
        <f t="shared" si="21"/>
        <v>0</v>
      </c>
      <c r="AZ40" s="1">
        <f t="shared" si="21"/>
        <v>0</v>
      </c>
      <c r="BA40" s="1">
        <f t="shared" si="21"/>
        <v>1</v>
      </c>
      <c r="BB40" s="1">
        <f t="shared" si="21"/>
        <v>1</v>
      </c>
      <c r="BC40" s="1">
        <f t="shared" si="21"/>
        <v>1</v>
      </c>
      <c r="BE40" s="1">
        <f t="shared" si="32"/>
        <v>1</v>
      </c>
      <c r="BF40" s="1">
        <f t="shared" si="22"/>
        <v>1</v>
      </c>
      <c r="BG40" s="1">
        <f t="shared" si="22"/>
        <v>0</v>
      </c>
      <c r="BH40" s="1">
        <f t="shared" si="22"/>
        <v>0</v>
      </c>
      <c r="BI40" s="1">
        <f t="shared" si="22"/>
        <v>0.5</v>
      </c>
      <c r="BJ40" s="1">
        <f t="shared" si="22"/>
        <v>0.5</v>
      </c>
      <c r="BK40" s="1">
        <f t="shared" si="22"/>
        <v>1</v>
      </c>
      <c r="BM40" s="1">
        <f t="shared" si="33"/>
        <v>1</v>
      </c>
      <c r="BN40" s="1">
        <f t="shared" si="23"/>
        <v>1</v>
      </c>
      <c r="BO40" s="1">
        <f t="shared" si="23"/>
        <v>0</v>
      </c>
      <c r="BP40" s="1">
        <f t="shared" si="23"/>
        <v>0</v>
      </c>
      <c r="BQ40" s="1">
        <f t="shared" si="23"/>
        <v>0.5</v>
      </c>
      <c r="BR40" s="1">
        <f t="shared" si="23"/>
        <v>0.5</v>
      </c>
      <c r="BS40" s="1">
        <f t="shared" si="23"/>
        <v>1</v>
      </c>
      <c r="BU40" s="1">
        <f t="shared" si="34"/>
        <v>0.5</v>
      </c>
      <c r="BV40" s="1">
        <f t="shared" si="24"/>
        <v>0.5</v>
      </c>
      <c r="BW40" s="1">
        <f t="shared" si="24"/>
        <v>0</v>
      </c>
      <c r="BX40" s="1">
        <f t="shared" si="24"/>
        <v>0</v>
      </c>
      <c r="BY40" s="1">
        <f t="shared" si="24"/>
        <v>0</v>
      </c>
      <c r="BZ40" s="1">
        <f t="shared" si="24"/>
        <v>0</v>
      </c>
      <c r="CA40" s="1">
        <f t="shared" si="24"/>
        <v>1</v>
      </c>
    </row>
    <row r="41" spans="1:79" x14ac:dyDescent="0.3">
      <c r="A41" s="1">
        <f t="shared" si="14"/>
        <v>1</v>
      </c>
      <c r="B41" s="1">
        <f t="shared" si="25"/>
        <v>1</v>
      </c>
      <c r="C41" s="1">
        <f t="shared" si="25"/>
        <v>1</v>
      </c>
      <c r="D41" s="1">
        <f t="shared" si="25"/>
        <v>1</v>
      </c>
      <c r="E41" s="1">
        <f t="shared" si="25"/>
        <v>1</v>
      </c>
      <c r="F41" s="1">
        <f t="shared" si="25"/>
        <v>1</v>
      </c>
      <c r="G41" s="1">
        <f t="shared" si="25"/>
        <v>1</v>
      </c>
      <c r="I41" s="1">
        <f t="shared" si="26"/>
        <v>1</v>
      </c>
      <c r="J41" s="1">
        <f t="shared" si="16"/>
        <v>1</v>
      </c>
      <c r="K41" s="1">
        <f t="shared" si="16"/>
        <v>1</v>
      </c>
      <c r="L41" s="1">
        <f t="shared" si="16"/>
        <v>1</v>
      </c>
      <c r="M41" s="1">
        <f t="shared" si="16"/>
        <v>1</v>
      </c>
      <c r="N41" s="1">
        <f t="shared" si="16"/>
        <v>1</v>
      </c>
      <c r="O41" s="1">
        <f t="shared" si="16"/>
        <v>1</v>
      </c>
      <c r="Q41" s="1">
        <f t="shared" si="27"/>
        <v>1</v>
      </c>
      <c r="R41" s="1">
        <f t="shared" si="17"/>
        <v>1</v>
      </c>
      <c r="S41" s="1">
        <f t="shared" si="17"/>
        <v>1</v>
      </c>
      <c r="T41" s="1">
        <f t="shared" si="17"/>
        <v>1</v>
      </c>
      <c r="U41" s="1">
        <f t="shared" si="17"/>
        <v>1</v>
      </c>
      <c r="V41" s="1">
        <f t="shared" si="17"/>
        <v>1</v>
      </c>
      <c r="W41" s="1">
        <f t="shared" si="17"/>
        <v>1</v>
      </c>
      <c r="Y41" s="1">
        <f t="shared" si="28"/>
        <v>1</v>
      </c>
      <c r="Z41" s="1">
        <f t="shared" si="18"/>
        <v>1</v>
      </c>
      <c r="AA41" s="1">
        <f t="shared" si="18"/>
        <v>0.5</v>
      </c>
      <c r="AB41" s="1">
        <f t="shared" si="18"/>
        <v>1</v>
      </c>
      <c r="AC41" s="1">
        <f t="shared" si="18"/>
        <v>1</v>
      </c>
      <c r="AD41" s="1">
        <f t="shared" si="18"/>
        <v>1</v>
      </c>
      <c r="AE41" s="1">
        <f t="shared" si="18"/>
        <v>1</v>
      </c>
      <c r="AG41" s="1">
        <f t="shared" si="29"/>
        <v>1</v>
      </c>
      <c r="AH41" s="1">
        <f t="shared" si="19"/>
        <v>1</v>
      </c>
      <c r="AI41" s="1">
        <f t="shared" si="19"/>
        <v>0</v>
      </c>
      <c r="AJ41" s="1">
        <f t="shared" si="19"/>
        <v>1</v>
      </c>
      <c r="AK41" s="1">
        <f t="shared" si="19"/>
        <v>1</v>
      </c>
      <c r="AL41" s="1">
        <f t="shared" si="19"/>
        <v>1</v>
      </c>
      <c r="AM41" s="1">
        <f t="shared" si="19"/>
        <v>1</v>
      </c>
      <c r="AO41" s="1">
        <f t="shared" si="30"/>
        <v>1</v>
      </c>
      <c r="AP41" s="1">
        <f t="shared" si="20"/>
        <v>1</v>
      </c>
      <c r="AQ41" s="1">
        <f t="shared" si="20"/>
        <v>0</v>
      </c>
      <c r="AR41" s="1">
        <f t="shared" si="20"/>
        <v>1</v>
      </c>
      <c r="AS41" s="1">
        <f t="shared" si="20"/>
        <v>1</v>
      </c>
      <c r="AT41" s="1">
        <f t="shared" si="20"/>
        <v>1</v>
      </c>
      <c r="AU41" s="1">
        <f t="shared" si="20"/>
        <v>1</v>
      </c>
      <c r="AW41" s="1">
        <f t="shared" si="31"/>
        <v>1</v>
      </c>
      <c r="AX41" s="1">
        <f t="shared" si="21"/>
        <v>1</v>
      </c>
      <c r="AY41" s="1">
        <f t="shared" si="21"/>
        <v>0</v>
      </c>
      <c r="AZ41" s="1">
        <f t="shared" si="21"/>
        <v>1</v>
      </c>
      <c r="BA41" s="1">
        <f t="shared" si="21"/>
        <v>1</v>
      </c>
      <c r="BB41" s="1">
        <f t="shared" si="21"/>
        <v>1</v>
      </c>
      <c r="BC41" s="1">
        <f t="shared" si="21"/>
        <v>1</v>
      </c>
      <c r="BE41" s="1">
        <f t="shared" si="32"/>
        <v>1</v>
      </c>
      <c r="BF41" s="1">
        <f t="shared" si="22"/>
        <v>0.5</v>
      </c>
      <c r="BG41" s="1">
        <f t="shared" si="22"/>
        <v>0</v>
      </c>
      <c r="BH41" s="1">
        <f t="shared" si="22"/>
        <v>0.5</v>
      </c>
      <c r="BI41" s="1">
        <f t="shared" si="22"/>
        <v>1</v>
      </c>
      <c r="BJ41" s="1">
        <f t="shared" si="22"/>
        <v>0.5</v>
      </c>
      <c r="BK41" s="1">
        <f t="shared" si="22"/>
        <v>1</v>
      </c>
      <c r="BM41" s="1">
        <f t="shared" si="33"/>
        <v>1</v>
      </c>
      <c r="BN41" s="1">
        <f t="shared" si="23"/>
        <v>0.5</v>
      </c>
      <c r="BO41" s="1">
        <f t="shared" si="23"/>
        <v>0</v>
      </c>
      <c r="BP41" s="1">
        <f t="shared" si="23"/>
        <v>0.5</v>
      </c>
      <c r="BQ41" s="1">
        <f t="shared" si="23"/>
        <v>1</v>
      </c>
      <c r="BR41" s="1">
        <f t="shared" si="23"/>
        <v>0.5</v>
      </c>
      <c r="BS41" s="1">
        <f t="shared" si="23"/>
        <v>1</v>
      </c>
      <c r="BU41" s="1">
        <f t="shared" si="34"/>
        <v>1</v>
      </c>
      <c r="BV41" s="1">
        <f t="shared" si="24"/>
        <v>0</v>
      </c>
      <c r="BW41" s="1">
        <f t="shared" si="24"/>
        <v>0</v>
      </c>
      <c r="BX41" s="1">
        <f t="shared" si="24"/>
        <v>0</v>
      </c>
      <c r="BY41" s="1">
        <f t="shared" si="24"/>
        <v>1</v>
      </c>
      <c r="BZ41" s="1">
        <f t="shared" si="24"/>
        <v>0</v>
      </c>
      <c r="CA41" s="1">
        <f t="shared" si="24"/>
        <v>1</v>
      </c>
    </row>
    <row r="42" spans="1:79" x14ac:dyDescent="0.3">
      <c r="A42" s="1">
        <f t="shared" si="14"/>
        <v>1</v>
      </c>
      <c r="B42" s="1">
        <f t="shared" si="25"/>
        <v>1</v>
      </c>
      <c r="C42" s="1">
        <f t="shared" si="25"/>
        <v>1</v>
      </c>
      <c r="D42" s="1">
        <f t="shared" si="25"/>
        <v>1</v>
      </c>
      <c r="E42" s="1">
        <f t="shared" si="25"/>
        <v>1</v>
      </c>
      <c r="F42" s="1">
        <f t="shared" si="25"/>
        <v>1</v>
      </c>
      <c r="G42" s="1">
        <f t="shared" si="25"/>
        <v>1</v>
      </c>
      <c r="I42" s="1">
        <f t="shared" si="26"/>
        <v>1</v>
      </c>
      <c r="J42" s="1">
        <f t="shared" si="16"/>
        <v>1</v>
      </c>
      <c r="K42" s="1">
        <f t="shared" si="16"/>
        <v>1</v>
      </c>
      <c r="L42" s="1">
        <f t="shared" si="16"/>
        <v>1</v>
      </c>
      <c r="M42" s="1">
        <f t="shared" si="16"/>
        <v>1</v>
      </c>
      <c r="N42" s="1">
        <f t="shared" si="16"/>
        <v>1</v>
      </c>
      <c r="O42" s="1">
        <f t="shared" si="16"/>
        <v>1</v>
      </c>
      <c r="Q42" s="1">
        <f t="shared" si="27"/>
        <v>1</v>
      </c>
      <c r="R42" s="1">
        <f t="shared" si="17"/>
        <v>1</v>
      </c>
      <c r="S42" s="1">
        <f t="shared" si="17"/>
        <v>1</v>
      </c>
      <c r="T42" s="1">
        <f t="shared" si="17"/>
        <v>1</v>
      </c>
      <c r="U42" s="1">
        <f t="shared" si="17"/>
        <v>1</v>
      </c>
      <c r="V42" s="1">
        <f t="shared" si="17"/>
        <v>1</v>
      </c>
      <c r="W42" s="1">
        <f t="shared" si="17"/>
        <v>1</v>
      </c>
      <c r="Y42" s="1">
        <f t="shared" si="28"/>
        <v>1</v>
      </c>
      <c r="Z42" s="1">
        <f t="shared" si="18"/>
        <v>1</v>
      </c>
      <c r="AA42" s="1">
        <f t="shared" si="18"/>
        <v>1</v>
      </c>
      <c r="AB42" s="1">
        <f t="shared" si="18"/>
        <v>0.5</v>
      </c>
      <c r="AC42" s="1">
        <f t="shared" si="18"/>
        <v>1</v>
      </c>
      <c r="AD42" s="1">
        <f t="shared" si="18"/>
        <v>1</v>
      </c>
      <c r="AE42" s="1">
        <f t="shared" si="18"/>
        <v>1</v>
      </c>
      <c r="AG42" s="1">
        <f t="shared" si="29"/>
        <v>1</v>
      </c>
      <c r="AH42" s="1">
        <f t="shared" si="19"/>
        <v>1</v>
      </c>
      <c r="AI42" s="1">
        <f t="shared" si="19"/>
        <v>1</v>
      </c>
      <c r="AJ42" s="1">
        <f t="shared" si="19"/>
        <v>0</v>
      </c>
      <c r="AK42" s="1">
        <f t="shared" si="19"/>
        <v>0.5</v>
      </c>
      <c r="AL42" s="1">
        <f t="shared" si="19"/>
        <v>1</v>
      </c>
      <c r="AM42" s="1">
        <f t="shared" si="19"/>
        <v>1</v>
      </c>
      <c r="AO42" s="1">
        <f t="shared" si="30"/>
        <v>1</v>
      </c>
      <c r="AP42" s="1">
        <f t="shared" si="20"/>
        <v>1</v>
      </c>
      <c r="AQ42" s="1">
        <f t="shared" si="20"/>
        <v>1</v>
      </c>
      <c r="AR42" s="1">
        <f t="shared" si="20"/>
        <v>0</v>
      </c>
      <c r="AS42" s="1">
        <f t="shared" si="20"/>
        <v>0.5</v>
      </c>
      <c r="AT42" s="1">
        <f t="shared" si="20"/>
        <v>1</v>
      </c>
      <c r="AU42" s="1">
        <f t="shared" si="20"/>
        <v>1</v>
      </c>
      <c r="AW42" s="1">
        <f t="shared" si="31"/>
        <v>1</v>
      </c>
      <c r="AX42" s="1">
        <f t="shared" si="21"/>
        <v>1</v>
      </c>
      <c r="AY42" s="1">
        <f t="shared" si="21"/>
        <v>1</v>
      </c>
      <c r="AZ42" s="1">
        <f t="shared" si="21"/>
        <v>0</v>
      </c>
      <c r="BA42" s="1">
        <f t="shared" si="21"/>
        <v>0.5</v>
      </c>
      <c r="BB42" s="1">
        <f t="shared" si="21"/>
        <v>1</v>
      </c>
      <c r="BC42" s="1">
        <f t="shared" si="21"/>
        <v>1</v>
      </c>
      <c r="BE42" s="1">
        <f t="shared" si="32"/>
        <v>0.5</v>
      </c>
      <c r="BF42" s="1">
        <f t="shared" si="22"/>
        <v>1</v>
      </c>
      <c r="BG42" s="1">
        <f t="shared" si="22"/>
        <v>0.5</v>
      </c>
      <c r="BH42" s="1">
        <f t="shared" si="22"/>
        <v>0</v>
      </c>
      <c r="BI42" s="1">
        <f t="shared" si="22"/>
        <v>0</v>
      </c>
      <c r="BJ42" s="1">
        <f t="shared" si="22"/>
        <v>0.5</v>
      </c>
      <c r="BK42" s="1">
        <f t="shared" si="22"/>
        <v>0.5</v>
      </c>
      <c r="BM42" s="1">
        <f t="shared" si="33"/>
        <v>0.5</v>
      </c>
      <c r="BN42" s="1">
        <f t="shared" si="23"/>
        <v>1</v>
      </c>
      <c r="BO42" s="1">
        <f t="shared" si="23"/>
        <v>0.5</v>
      </c>
      <c r="BP42" s="1">
        <f t="shared" si="23"/>
        <v>0</v>
      </c>
      <c r="BQ42" s="1">
        <f t="shared" si="23"/>
        <v>0</v>
      </c>
      <c r="BR42" s="1">
        <f t="shared" si="23"/>
        <v>0.5</v>
      </c>
      <c r="BS42" s="1">
        <f t="shared" si="23"/>
        <v>0.5</v>
      </c>
      <c r="BU42" s="1">
        <f t="shared" si="34"/>
        <v>0</v>
      </c>
      <c r="BV42" s="1">
        <f t="shared" si="24"/>
        <v>0.5</v>
      </c>
      <c r="BW42" s="1">
        <f t="shared" si="24"/>
        <v>0</v>
      </c>
      <c r="BX42" s="1">
        <f t="shared" si="24"/>
        <v>0</v>
      </c>
      <c r="BY42" s="1">
        <f t="shared" si="24"/>
        <v>0</v>
      </c>
      <c r="BZ42" s="1">
        <f t="shared" si="24"/>
        <v>0</v>
      </c>
      <c r="CA42" s="1">
        <f t="shared" si="24"/>
        <v>0</v>
      </c>
    </row>
    <row r="43" spans="1:79" x14ac:dyDescent="0.3">
      <c r="A43" s="1">
        <f t="shared" si="14"/>
        <v>1</v>
      </c>
      <c r="B43" s="1">
        <f t="shared" si="25"/>
        <v>1</v>
      </c>
      <c r="C43" s="1">
        <f t="shared" si="25"/>
        <v>1</v>
      </c>
      <c r="D43" s="1">
        <f t="shared" si="25"/>
        <v>1</v>
      </c>
      <c r="E43" s="1">
        <f t="shared" si="25"/>
        <v>1</v>
      </c>
      <c r="F43" s="1">
        <f t="shared" si="25"/>
        <v>0.5</v>
      </c>
      <c r="G43" s="1">
        <f t="shared" si="25"/>
        <v>1</v>
      </c>
      <c r="I43" s="1">
        <f t="shared" si="26"/>
        <v>1</v>
      </c>
      <c r="J43" s="1">
        <f t="shared" si="16"/>
        <v>1</v>
      </c>
      <c r="K43" s="1">
        <f t="shared" si="16"/>
        <v>1</v>
      </c>
      <c r="L43" s="1">
        <f t="shared" si="16"/>
        <v>1</v>
      </c>
      <c r="M43" s="1">
        <f t="shared" si="16"/>
        <v>1</v>
      </c>
      <c r="N43" s="1">
        <f t="shared" si="16"/>
        <v>0</v>
      </c>
      <c r="O43" s="1">
        <f t="shared" si="16"/>
        <v>1</v>
      </c>
      <c r="Q43" s="1">
        <f t="shared" si="27"/>
        <v>1</v>
      </c>
      <c r="R43" s="1">
        <f t="shared" si="17"/>
        <v>1</v>
      </c>
      <c r="S43" s="1">
        <f t="shared" si="17"/>
        <v>1</v>
      </c>
      <c r="T43" s="1">
        <f t="shared" si="17"/>
        <v>1</v>
      </c>
      <c r="U43" s="1">
        <f t="shared" si="17"/>
        <v>1</v>
      </c>
      <c r="V43" s="1">
        <f t="shared" si="17"/>
        <v>0</v>
      </c>
      <c r="W43" s="1">
        <f t="shared" si="17"/>
        <v>0.5</v>
      </c>
      <c r="Y43" s="1">
        <f t="shared" si="28"/>
        <v>1</v>
      </c>
      <c r="Z43" s="1">
        <f t="shared" si="18"/>
        <v>1</v>
      </c>
      <c r="AA43" s="1">
        <f t="shared" si="18"/>
        <v>1</v>
      </c>
      <c r="AB43" s="1">
        <f t="shared" si="18"/>
        <v>1</v>
      </c>
      <c r="AC43" s="1">
        <f t="shared" si="18"/>
        <v>0.5</v>
      </c>
      <c r="AD43" s="1">
        <f t="shared" si="18"/>
        <v>0</v>
      </c>
      <c r="AE43" s="1">
        <f t="shared" si="18"/>
        <v>0</v>
      </c>
      <c r="AG43" s="1">
        <f t="shared" si="29"/>
        <v>1</v>
      </c>
      <c r="AH43" s="1">
        <f t="shared" si="19"/>
        <v>1</v>
      </c>
      <c r="AI43" s="1">
        <f t="shared" si="19"/>
        <v>0.5</v>
      </c>
      <c r="AJ43" s="1">
        <f t="shared" si="19"/>
        <v>1</v>
      </c>
      <c r="AK43" s="1">
        <f t="shared" si="19"/>
        <v>0</v>
      </c>
      <c r="AL43" s="1">
        <f t="shared" si="19"/>
        <v>0</v>
      </c>
      <c r="AM43" s="1">
        <f t="shared" si="19"/>
        <v>0</v>
      </c>
      <c r="AO43" s="1">
        <f t="shared" si="30"/>
        <v>1</v>
      </c>
      <c r="AP43" s="1">
        <f t="shared" si="20"/>
        <v>1</v>
      </c>
      <c r="AQ43" s="1">
        <f t="shared" si="20"/>
        <v>0.5</v>
      </c>
      <c r="AR43" s="1">
        <f t="shared" si="20"/>
        <v>1</v>
      </c>
      <c r="AS43" s="1">
        <f t="shared" si="20"/>
        <v>0</v>
      </c>
      <c r="AT43" s="1">
        <f t="shared" si="20"/>
        <v>0</v>
      </c>
      <c r="AU43" s="1">
        <f t="shared" si="20"/>
        <v>0</v>
      </c>
      <c r="AW43" s="1">
        <f t="shared" si="31"/>
        <v>1</v>
      </c>
      <c r="AX43" s="1">
        <f t="shared" si="21"/>
        <v>1</v>
      </c>
      <c r="AY43" s="1">
        <f t="shared" si="21"/>
        <v>0.5</v>
      </c>
      <c r="AZ43" s="1">
        <f t="shared" si="21"/>
        <v>1</v>
      </c>
      <c r="BA43" s="1">
        <f t="shared" si="21"/>
        <v>0</v>
      </c>
      <c r="BB43" s="1">
        <f t="shared" si="21"/>
        <v>0</v>
      </c>
      <c r="BC43" s="1">
        <f t="shared" si="21"/>
        <v>0</v>
      </c>
      <c r="BE43" s="1">
        <f t="shared" si="32"/>
        <v>1</v>
      </c>
      <c r="BF43" s="1">
        <f t="shared" si="22"/>
        <v>0.5</v>
      </c>
      <c r="BG43" s="1">
        <f t="shared" si="22"/>
        <v>0</v>
      </c>
      <c r="BH43" s="1">
        <f t="shared" si="22"/>
        <v>0.5</v>
      </c>
      <c r="BI43" s="1">
        <f t="shared" si="22"/>
        <v>0</v>
      </c>
      <c r="BJ43" s="1">
        <f t="shared" si="22"/>
        <v>0</v>
      </c>
      <c r="BK43" s="1">
        <f t="shared" si="22"/>
        <v>0</v>
      </c>
      <c r="BM43" s="1">
        <f t="shared" si="33"/>
        <v>1</v>
      </c>
      <c r="BN43" s="1">
        <f t="shared" si="23"/>
        <v>0.5</v>
      </c>
      <c r="BO43" s="1">
        <f t="shared" si="23"/>
        <v>0</v>
      </c>
      <c r="BP43" s="1">
        <f t="shared" si="23"/>
        <v>0.5</v>
      </c>
      <c r="BQ43" s="1">
        <f t="shared" si="23"/>
        <v>0</v>
      </c>
      <c r="BR43" s="1">
        <f t="shared" si="23"/>
        <v>0</v>
      </c>
      <c r="BS43" s="1">
        <f t="shared" si="23"/>
        <v>0</v>
      </c>
      <c r="BU43" s="1">
        <f t="shared" si="34"/>
        <v>1</v>
      </c>
      <c r="BV43" s="1">
        <f t="shared" si="24"/>
        <v>0</v>
      </c>
      <c r="BW43" s="1">
        <f t="shared" si="24"/>
        <v>0</v>
      </c>
      <c r="BX43" s="1">
        <f t="shared" si="24"/>
        <v>0</v>
      </c>
      <c r="BY43" s="1">
        <f t="shared" si="24"/>
        <v>0</v>
      </c>
      <c r="BZ43" s="1">
        <f t="shared" si="24"/>
        <v>0</v>
      </c>
      <c r="CA43" s="1">
        <f t="shared" si="24"/>
        <v>0</v>
      </c>
    </row>
    <row r="44" spans="1:79" x14ac:dyDescent="0.3">
      <c r="A44" s="1">
        <f t="shared" si="14"/>
        <v>1</v>
      </c>
      <c r="B44" s="1">
        <f t="shared" si="25"/>
        <v>1</v>
      </c>
      <c r="C44" s="1">
        <f t="shared" si="25"/>
        <v>1</v>
      </c>
      <c r="D44" s="1">
        <f t="shared" si="25"/>
        <v>1</v>
      </c>
      <c r="E44" s="1">
        <f t="shared" si="25"/>
        <v>1</v>
      </c>
      <c r="F44" s="1">
        <f t="shared" si="25"/>
        <v>1</v>
      </c>
      <c r="G44" s="1">
        <f t="shared" si="25"/>
        <v>1</v>
      </c>
      <c r="I44" s="1">
        <f t="shared" si="26"/>
        <v>1</v>
      </c>
      <c r="J44" s="1">
        <f t="shared" si="16"/>
        <v>1</v>
      </c>
      <c r="K44" s="1">
        <f t="shared" si="16"/>
        <v>1</v>
      </c>
      <c r="L44" s="1">
        <f t="shared" si="16"/>
        <v>1</v>
      </c>
      <c r="M44" s="1">
        <f t="shared" si="16"/>
        <v>1</v>
      </c>
      <c r="N44" s="1">
        <f t="shared" si="16"/>
        <v>1</v>
      </c>
      <c r="O44" s="1">
        <f t="shared" si="16"/>
        <v>1</v>
      </c>
      <c r="Q44" s="1">
        <f t="shared" si="27"/>
        <v>1</v>
      </c>
      <c r="R44" s="1">
        <f t="shared" si="17"/>
        <v>1</v>
      </c>
      <c r="S44" s="1">
        <f t="shared" si="17"/>
        <v>1</v>
      </c>
      <c r="T44" s="1">
        <f t="shared" si="17"/>
        <v>1</v>
      </c>
      <c r="U44" s="1">
        <f t="shared" si="17"/>
        <v>1</v>
      </c>
      <c r="V44" s="1">
        <f t="shared" si="17"/>
        <v>1</v>
      </c>
      <c r="W44" s="1">
        <f t="shared" si="17"/>
        <v>1</v>
      </c>
      <c r="Y44" s="1">
        <f t="shared" si="28"/>
        <v>1</v>
      </c>
      <c r="Z44" s="1">
        <f t="shared" si="18"/>
        <v>1</v>
      </c>
      <c r="AA44" s="1">
        <f t="shared" si="18"/>
        <v>1</v>
      </c>
      <c r="AB44" s="1">
        <f t="shared" si="18"/>
        <v>1</v>
      </c>
      <c r="AC44" s="1">
        <f t="shared" si="18"/>
        <v>1</v>
      </c>
      <c r="AD44" s="1">
        <f t="shared" si="18"/>
        <v>1</v>
      </c>
      <c r="AE44" s="1">
        <f t="shared" si="18"/>
        <v>1</v>
      </c>
      <c r="AG44" s="1">
        <f t="shared" si="29"/>
        <v>1</v>
      </c>
      <c r="AH44" s="1">
        <f t="shared" si="19"/>
        <v>0.5</v>
      </c>
      <c r="AI44" s="1">
        <f t="shared" si="19"/>
        <v>1</v>
      </c>
      <c r="AJ44" s="1">
        <f t="shared" si="19"/>
        <v>1</v>
      </c>
      <c r="AK44" s="1">
        <f t="shared" si="19"/>
        <v>1</v>
      </c>
      <c r="AL44" s="1">
        <f t="shared" si="19"/>
        <v>1</v>
      </c>
      <c r="AM44" s="1">
        <f t="shared" si="19"/>
        <v>1</v>
      </c>
      <c r="AO44" s="1">
        <f t="shared" si="30"/>
        <v>1</v>
      </c>
      <c r="AP44" s="1">
        <f t="shared" si="20"/>
        <v>0.5</v>
      </c>
      <c r="AQ44" s="1">
        <f t="shared" si="20"/>
        <v>1</v>
      </c>
      <c r="AR44" s="1">
        <f t="shared" si="20"/>
        <v>1</v>
      </c>
      <c r="AS44" s="1">
        <f t="shared" si="20"/>
        <v>1</v>
      </c>
      <c r="AT44" s="1">
        <f t="shared" si="20"/>
        <v>1</v>
      </c>
      <c r="AU44" s="1">
        <f t="shared" si="20"/>
        <v>1</v>
      </c>
      <c r="AW44" s="1">
        <f t="shared" si="31"/>
        <v>1</v>
      </c>
      <c r="AX44" s="1">
        <f t="shared" si="21"/>
        <v>0.5</v>
      </c>
      <c r="AY44" s="1">
        <f t="shared" si="21"/>
        <v>1</v>
      </c>
      <c r="AZ44" s="1">
        <f t="shared" si="21"/>
        <v>1</v>
      </c>
      <c r="BA44" s="1">
        <f t="shared" si="21"/>
        <v>1</v>
      </c>
      <c r="BB44" s="1">
        <f t="shared" si="21"/>
        <v>1</v>
      </c>
      <c r="BC44" s="1">
        <f t="shared" si="21"/>
        <v>1</v>
      </c>
      <c r="BE44" s="1">
        <f t="shared" si="32"/>
        <v>0.5</v>
      </c>
      <c r="BF44" s="1">
        <f t="shared" si="22"/>
        <v>0</v>
      </c>
      <c r="BG44" s="1">
        <f t="shared" si="22"/>
        <v>0.5</v>
      </c>
      <c r="BH44" s="1">
        <f t="shared" si="22"/>
        <v>1</v>
      </c>
      <c r="BI44" s="1">
        <f t="shared" si="22"/>
        <v>1</v>
      </c>
      <c r="BJ44" s="1">
        <f t="shared" si="22"/>
        <v>0.5</v>
      </c>
      <c r="BK44" s="1">
        <f t="shared" si="22"/>
        <v>1</v>
      </c>
      <c r="BM44" s="1">
        <f t="shared" si="33"/>
        <v>0.5</v>
      </c>
      <c r="BN44" s="1">
        <f t="shared" si="23"/>
        <v>0</v>
      </c>
      <c r="BO44" s="1">
        <f t="shared" si="23"/>
        <v>0.5</v>
      </c>
      <c r="BP44" s="1">
        <f t="shared" si="23"/>
        <v>1</v>
      </c>
      <c r="BQ44" s="1">
        <f t="shared" si="23"/>
        <v>1</v>
      </c>
      <c r="BR44" s="1">
        <f t="shared" si="23"/>
        <v>0.5</v>
      </c>
      <c r="BS44" s="1">
        <f t="shared" si="23"/>
        <v>1</v>
      </c>
      <c r="BU44" s="1">
        <f t="shared" si="34"/>
        <v>0</v>
      </c>
      <c r="BV44" s="1">
        <f t="shared" si="24"/>
        <v>0</v>
      </c>
      <c r="BW44" s="1">
        <f t="shared" si="24"/>
        <v>0</v>
      </c>
      <c r="BX44" s="1">
        <f t="shared" si="24"/>
        <v>0.5</v>
      </c>
      <c r="BY44" s="1">
        <f t="shared" si="24"/>
        <v>0.5</v>
      </c>
      <c r="BZ44" s="1">
        <f t="shared" si="24"/>
        <v>0</v>
      </c>
      <c r="CA44" s="1">
        <f t="shared" si="24"/>
        <v>1</v>
      </c>
    </row>
    <row r="45" spans="1:79" x14ac:dyDescent="0.3">
      <c r="A45" s="1">
        <f t="shared" si="25"/>
        <v>1</v>
      </c>
      <c r="B45" s="1">
        <f t="shared" si="25"/>
        <v>0.5</v>
      </c>
      <c r="C45" s="1">
        <f t="shared" si="25"/>
        <v>1</v>
      </c>
      <c r="D45" s="1">
        <f t="shared" si="25"/>
        <v>1</v>
      </c>
      <c r="E45" s="1">
        <f t="shared" si="25"/>
        <v>1</v>
      </c>
      <c r="F45" s="1">
        <f t="shared" si="25"/>
        <v>1</v>
      </c>
      <c r="G45" s="1">
        <f t="shared" si="25"/>
        <v>1</v>
      </c>
      <c r="I45" s="1">
        <f t="shared" si="26"/>
        <v>1</v>
      </c>
      <c r="J45" s="1">
        <f t="shared" si="16"/>
        <v>0</v>
      </c>
      <c r="K45" s="1">
        <f t="shared" si="16"/>
        <v>1</v>
      </c>
      <c r="L45" s="1">
        <f t="shared" si="16"/>
        <v>1</v>
      </c>
      <c r="M45" s="1">
        <f t="shared" si="16"/>
        <v>1</v>
      </c>
      <c r="N45" s="1">
        <f t="shared" si="16"/>
        <v>1</v>
      </c>
      <c r="O45" s="1">
        <f t="shared" si="16"/>
        <v>1</v>
      </c>
      <c r="Q45" s="1">
        <f t="shared" si="27"/>
        <v>1</v>
      </c>
      <c r="R45" s="1">
        <f t="shared" si="17"/>
        <v>0</v>
      </c>
      <c r="S45" s="1">
        <f t="shared" si="17"/>
        <v>1</v>
      </c>
      <c r="T45" s="1">
        <f t="shared" si="17"/>
        <v>1</v>
      </c>
      <c r="U45" s="1">
        <f t="shared" si="17"/>
        <v>1</v>
      </c>
      <c r="V45" s="1">
        <f t="shared" si="17"/>
        <v>1</v>
      </c>
      <c r="W45" s="1">
        <f t="shared" si="17"/>
        <v>1</v>
      </c>
      <c r="Y45" s="1">
        <f t="shared" si="28"/>
        <v>1</v>
      </c>
      <c r="Z45" s="1">
        <f t="shared" si="18"/>
        <v>0</v>
      </c>
      <c r="AA45" s="1">
        <f t="shared" si="18"/>
        <v>1</v>
      </c>
      <c r="AB45" s="1">
        <f t="shared" si="18"/>
        <v>1</v>
      </c>
      <c r="AC45" s="1">
        <f t="shared" si="18"/>
        <v>0.5</v>
      </c>
      <c r="AD45" s="1">
        <f t="shared" si="18"/>
        <v>0.5</v>
      </c>
      <c r="AE45" s="1">
        <f t="shared" si="18"/>
        <v>1</v>
      </c>
      <c r="AG45" s="1">
        <f t="shared" si="29"/>
        <v>1</v>
      </c>
      <c r="AH45" s="1">
        <f t="shared" si="19"/>
        <v>0</v>
      </c>
      <c r="AI45" s="1">
        <f t="shared" si="19"/>
        <v>0.5</v>
      </c>
      <c r="AJ45" s="1">
        <f t="shared" si="19"/>
        <v>1</v>
      </c>
      <c r="AK45" s="1">
        <f t="shared" si="19"/>
        <v>0</v>
      </c>
      <c r="AL45" s="1">
        <f t="shared" si="19"/>
        <v>0</v>
      </c>
      <c r="AM45" s="1">
        <f t="shared" si="19"/>
        <v>1</v>
      </c>
      <c r="AO45" s="1">
        <f t="shared" si="30"/>
        <v>1</v>
      </c>
      <c r="AP45" s="1">
        <f t="shared" si="20"/>
        <v>0</v>
      </c>
      <c r="AQ45" s="1">
        <f t="shared" si="20"/>
        <v>0.5</v>
      </c>
      <c r="AR45" s="1">
        <f t="shared" si="20"/>
        <v>1</v>
      </c>
      <c r="AS45" s="1">
        <f t="shared" si="20"/>
        <v>0</v>
      </c>
      <c r="AT45" s="1">
        <f t="shared" si="20"/>
        <v>0</v>
      </c>
      <c r="AU45" s="1">
        <f t="shared" si="20"/>
        <v>1</v>
      </c>
      <c r="AW45" s="1">
        <f t="shared" si="31"/>
        <v>1</v>
      </c>
      <c r="AX45" s="1">
        <f t="shared" si="21"/>
        <v>0</v>
      </c>
      <c r="AY45" s="1">
        <f t="shared" si="21"/>
        <v>0.5</v>
      </c>
      <c r="AZ45" s="1">
        <f t="shared" si="21"/>
        <v>1</v>
      </c>
      <c r="BA45" s="1">
        <f t="shared" si="21"/>
        <v>0</v>
      </c>
      <c r="BB45" s="1">
        <f t="shared" si="21"/>
        <v>0</v>
      </c>
      <c r="BC45" s="1">
        <f t="shared" si="21"/>
        <v>1</v>
      </c>
      <c r="BE45" s="1">
        <f t="shared" si="32"/>
        <v>1</v>
      </c>
      <c r="BF45" s="1">
        <f t="shared" si="22"/>
        <v>0</v>
      </c>
      <c r="BG45" s="1">
        <f t="shared" si="22"/>
        <v>0</v>
      </c>
      <c r="BH45" s="1">
        <f t="shared" si="22"/>
        <v>1</v>
      </c>
      <c r="BI45" s="1">
        <f t="shared" si="22"/>
        <v>0</v>
      </c>
      <c r="BJ45" s="1">
        <f t="shared" si="22"/>
        <v>0</v>
      </c>
      <c r="BK45" s="1">
        <f t="shared" si="22"/>
        <v>1</v>
      </c>
      <c r="BM45" s="1">
        <f t="shared" si="33"/>
        <v>1</v>
      </c>
      <c r="BN45" s="1">
        <f t="shared" si="23"/>
        <v>0</v>
      </c>
      <c r="BO45" s="1">
        <f t="shared" si="23"/>
        <v>0</v>
      </c>
      <c r="BP45" s="1">
        <f t="shared" si="23"/>
        <v>1</v>
      </c>
      <c r="BQ45" s="1">
        <f t="shared" si="23"/>
        <v>0</v>
      </c>
      <c r="BR45" s="1">
        <f t="shared" si="23"/>
        <v>0</v>
      </c>
      <c r="BS45" s="1">
        <f t="shared" si="23"/>
        <v>1</v>
      </c>
      <c r="BU45" s="1">
        <f t="shared" si="34"/>
        <v>0.5</v>
      </c>
      <c r="BV45" s="1">
        <f t="shared" si="24"/>
        <v>0</v>
      </c>
      <c r="BW45" s="1">
        <f t="shared" si="24"/>
        <v>0</v>
      </c>
      <c r="BX45" s="1">
        <f t="shared" si="24"/>
        <v>1</v>
      </c>
      <c r="BY45" s="1">
        <f t="shared" si="24"/>
        <v>0</v>
      </c>
      <c r="BZ45" s="1">
        <f t="shared" si="24"/>
        <v>0</v>
      </c>
      <c r="CA45" s="1">
        <f t="shared" si="24"/>
        <v>1</v>
      </c>
    </row>
    <row r="47" spans="1:79" x14ac:dyDescent="0.3">
      <c r="C47" s="36" t="s">
        <v>50</v>
      </c>
      <c r="D47" s="36"/>
      <c r="J47" s="36" t="s">
        <v>57</v>
      </c>
      <c r="K47" s="36"/>
      <c r="Q47" s="36" t="s">
        <v>58</v>
      </c>
      <c r="R47" s="36"/>
      <c r="X47" s="36" t="s">
        <v>59</v>
      </c>
      <c r="Y47" s="36"/>
      <c r="AE47" s="36" t="s">
        <v>60</v>
      </c>
      <c r="AF47" s="36"/>
      <c r="AL47" s="36" t="s">
        <v>61</v>
      </c>
      <c r="AM47" s="36"/>
      <c r="AS47" s="36" t="s">
        <v>62</v>
      </c>
      <c r="AT47" s="36"/>
      <c r="AZ47" s="36" t="s">
        <v>63</v>
      </c>
      <c r="BA47" s="36"/>
      <c r="BG47" s="36" t="s">
        <v>64</v>
      </c>
      <c r="BH47" s="36"/>
      <c r="BN47" s="36" t="s">
        <v>65</v>
      </c>
      <c r="BO47" s="36"/>
    </row>
    <row r="48" spans="1:79" x14ac:dyDescent="0.3">
      <c r="A48" s="26" t="s">
        <v>51</v>
      </c>
      <c r="B48" s="26" t="s">
        <v>52</v>
      </c>
      <c r="C48" s="26" t="s">
        <v>53</v>
      </c>
      <c r="D48" s="26" t="s">
        <v>54</v>
      </c>
      <c r="E48" s="26" t="s">
        <v>55</v>
      </c>
      <c r="F48" s="26" t="s">
        <v>56</v>
      </c>
      <c r="H48" s="26" t="s">
        <v>51</v>
      </c>
      <c r="I48" s="26" t="s">
        <v>52</v>
      </c>
      <c r="J48" s="26" t="s">
        <v>53</v>
      </c>
      <c r="K48" s="26" t="s">
        <v>54</v>
      </c>
      <c r="L48" s="26" t="s">
        <v>55</v>
      </c>
      <c r="M48" s="26" t="s">
        <v>56</v>
      </c>
      <c r="O48" s="26" t="s">
        <v>51</v>
      </c>
      <c r="P48" s="26" t="s">
        <v>52</v>
      </c>
      <c r="Q48" s="26" t="s">
        <v>53</v>
      </c>
      <c r="R48" s="26" t="s">
        <v>54</v>
      </c>
      <c r="S48" s="26" t="s">
        <v>55</v>
      </c>
      <c r="T48" s="26" t="s">
        <v>56</v>
      </c>
      <c r="V48" s="26" t="s">
        <v>51</v>
      </c>
      <c r="W48" s="26" t="s">
        <v>52</v>
      </c>
      <c r="X48" s="26" t="s">
        <v>53</v>
      </c>
      <c r="Y48" s="26" t="s">
        <v>54</v>
      </c>
      <c r="Z48" s="26" t="s">
        <v>55</v>
      </c>
      <c r="AA48" s="26" t="s">
        <v>56</v>
      </c>
      <c r="AC48" s="26" t="s">
        <v>51</v>
      </c>
      <c r="AD48" s="26" t="s">
        <v>52</v>
      </c>
      <c r="AE48" s="26" t="s">
        <v>53</v>
      </c>
      <c r="AF48" s="26" t="s">
        <v>54</v>
      </c>
      <c r="AG48" s="26" t="s">
        <v>55</v>
      </c>
      <c r="AH48" s="26" t="s">
        <v>56</v>
      </c>
      <c r="AJ48" s="26" t="s">
        <v>51</v>
      </c>
      <c r="AK48" s="26" t="s">
        <v>52</v>
      </c>
      <c r="AL48" s="26" t="s">
        <v>53</v>
      </c>
      <c r="AM48" s="26" t="s">
        <v>54</v>
      </c>
      <c r="AN48" s="26" t="s">
        <v>55</v>
      </c>
      <c r="AO48" s="26" t="s">
        <v>56</v>
      </c>
      <c r="AQ48" s="26" t="s">
        <v>51</v>
      </c>
      <c r="AR48" s="26" t="s">
        <v>52</v>
      </c>
      <c r="AS48" s="26" t="s">
        <v>53</v>
      </c>
      <c r="AT48" s="26" t="s">
        <v>54</v>
      </c>
      <c r="AU48" s="26" t="s">
        <v>55</v>
      </c>
      <c r="AV48" s="26" t="s">
        <v>56</v>
      </c>
      <c r="AX48" s="26" t="s">
        <v>51</v>
      </c>
      <c r="AY48" s="26" t="s">
        <v>52</v>
      </c>
      <c r="AZ48" s="26" t="s">
        <v>53</v>
      </c>
      <c r="BA48" s="26" t="s">
        <v>54</v>
      </c>
      <c r="BB48" s="26" t="s">
        <v>55</v>
      </c>
      <c r="BC48" s="26" t="s">
        <v>56</v>
      </c>
      <c r="BE48" s="26" t="s">
        <v>51</v>
      </c>
      <c r="BF48" s="26" t="s">
        <v>52</v>
      </c>
      <c r="BG48" s="26" t="s">
        <v>53</v>
      </c>
      <c r="BH48" s="26" t="s">
        <v>54</v>
      </c>
      <c r="BI48" s="26" t="s">
        <v>55</v>
      </c>
      <c r="BJ48" s="26" t="s">
        <v>56</v>
      </c>
      <c r="BL48" s="26" t="s">
        <v>51</v>
      </c>
      <c r="BM48" s="26" t="s">
        <v>52</v>
      </c>
      <c r="BN48" s="26" t="s">
        <v>53</v>
      </c>
      <c r="BO48" s="26" t="s">
        <v>54</v>
      </c>
      <c r="BP48" s="26" t="s">
        <v>55</v>
      </c>
      <c r="BQ48" s="26" t="s">
        <v>56</v>
      </c>
    </row>
    <row r="49" spans="1:69" x14ac:dyDescent="0.3">
      <c r="A49" s="1">
        <f>IF($B$6&gt;C6,0,IF($B$6=C6,0.5,IF($B$6&lt;C6,1)))</f>
        <v>0</v>
      </c>
      <c r="B49" s="1">
        <f t="shared" ref="B49:F58" si="35">IF($B$6&gt;D6,0,IF($B$6=D6,0.5,IF($B$6&lt;D6,1)))</f>
        <v>1</v>
      </c>
      <c r="C49" s="1">
        <f t="shared" si="35"/>
        <v>1</v>
      </c>
      <c r="D49" s="1">
        <f t="shared" si="35"/>
        <v>1</v>
      </c>
      <c r="E49" s="1">
        <f t="shared" si="35"/>
        <v>1</v>
      </c>
      <c r="F49" s="1">
        <f t="shared" si="35"/>
        <v>1</v>
      </c>
      <c r="H49" s="1">
        <f>IF($B$7&gt;C6,0,IF($B$7=C6,0.5,IF($B$7&lt;C6,1)))</f>
        <v>0</v>
      </c>
      <c r="I49" s="1">
        <f t="shared" ref="I49:M58" si="36">IF($B$7&gt;D6,0,IF($B$7=D6,0.5,IF($B$7&lt;D6,1)))</f>
        <v>0</v>
      </c>
      <c r="J49" s="1">
        <f t="shared" si="36"/>
        <v>0</v>
      </c>
      <c r="K49" s="1">
        <f t="shared" si="36"/>
        <v>0</v>
      </c>
      <c r="L49" s="1">
        <f t="shared" si="36"/>
        <v>1</v>
      </c>
      <c r="M49" s="1">
        <f t="shared" si="36"/>
        <v>0</v>
      </c>
      <c r="O49" s="1">
        <f>IF($B$8&gt;C6,0,IF($B$8=C6,0.5,IF($B$8&lt;C6,1)))</f>
        <v>0</v>
      </c>
      <c r="P49" s="1">
        <f t="shared" ref="P49:T58" si="37">IF($B$8&gt;D6,0,IF($B$8=D6,0.5,IF($B$8&lt;D6,1)))</f>
        <v>1</v>
      </c>
      <c r="Q49" s="1">
        <f t="shared" si="37"/>
        <v>1</v>
      </c>
      <c r="R49" s="1">
        <f t="shared" si="37"/>
        <v>1</v>
      </c>
      <c r="S49" s="1">
        <f t="shared" si="37"/>
        <v>1</v>
      </c>
      <c r="T49" s="1">
        <f t="shared" si="37"/>
        <v>1</v>
      </c>
      <c r="V49" s="1">
        <f>IF($B$9&gt;C6,0,IF($B$9=C6,0.5,IF($B$9&lt;C6,1)))</f>
        <v>0</v>
      </c>
      <c r="W49" s="1">
        <f t="shared" ref="W49:AA58" si="38">IF($B$9&gt;D6,0,IF($B$9=D6,0.5,IF($B$9&lt;D6,1)))</f>
        <v>1</v>
      </c>
      <c r="X49" s="1">
        <f t="shared" si="38"/>
        <v>1</v>
      </c>
      <c r="Y49" s="1">
        <f t="shared" si="38"/>
        <v>1</v>
      </c>
      <c r="Z49" s="1">
        <f t="shared" si="38"/>
        <v>1</v>
      </c>
      <c r="AA49" s="1">
        <f t="shared" si="38"/>
        <v>1</v>
      </c>
      <c r="AC49" s="1">
        <f>IF($B$10&gt;C6,0,IF($B$10=C6,0.5,IF($B$10&lt;C6,1)))</f>
        <v>0</v>
      </c>
      <c r="AD49" s="1">
        <f t="shared" ref="AD49:AH58" si="39">IF($B$10&gt;D6,0,IF($B$10=D6,0.5,IF($B$10&lt;D6,1)))</f>
        <v>0</v>
      </c>
      <c r="AE49" s="1">
        <f t="shared" si="39"/>
        <v>0</v>
      </c>
      <c r="AF49" s="1">
        <f t="shared" si="39"/>
        <v>0</v>
      </c>
      <c r="AG49" s="1">
        <f t="shared" si="39"/>
        <v>1</v>
      </c>
      <c r="AH49" s="1">
        <f t="shared" si="39"/>
        <v>0.5</v>
      </c>
      <c r="AJ49" s="1">
        <f>IF($B$11&gt;C6,0,IF($B$11=C6,0.5,IF($B$11&lt;C6,1)))</f>
        <v>0</v>
      </c>
      <c r="AK49" s="1">
        <f t="shared" ref="AK49:AO58" si="40">IF($B$11&gt;D6,0,IF($B$11=D6,0.5,IF($B$11&lt;D6,1)))</f>
        <v>0</v>
      </c>
      <c r="AL49" s="1">
        <f t="shared" si="40"/>
        <v>0</v>
      </c>
      <c r="AM49" s="1">
        <f t="shared" si="40"/>
        <v>0</v>
      </c>
      <c r="AN49" s="1">
        <f t="shared" si="40"/>
        <v>1</v>
      </c>
      <c r="AO49" s="1">
        <f t="shared" si="40"/>
        <v>0</v>
      </c>
      <c r="AQ49" s="1">
        <f>IF($B$12&gt;C6,0,IF($B$12=C6,0.5,IF($B$12&lt;C6,1)))</f>
        <v>0</v>
      </c>
      <c r="AR49" s="1">
        <f t="shared" ref="AR49:AV58" si="41">IF($B$12&gt;D6,0,IF($B$12=D6,0.5,IF($B$12&lt;D6,1)))</f>
        <v>0.5</v>
      </c>
      <c r="AS49" s="1">
        <f t="shared" si="41"/>
        <v>0.5</v>
      </c>
      <c r="AT49" s="1">
        <f t="shared" si="41"/>
        <v>0.5</v>
      </c>
      <c r="AU49" s="1">
        <f t="shared" si="41"/>
        <v>1</v>
      </c>
      <c r="AV49" s="1">
        <f t="shared" si="41"/>
        <v>1</v>
      </c>
      <c r="AX49" s="1">
        <f>IF($B$13&gt;C6,0,IF($B$13=C6,0.5,IF($B$13&lt;C6,1)))</f>
        <v>0</v>
      </c>
      <c r="AY49" s="1">
        <f t="shared" ref="AY49:BC58" si="42">IF($B$13&gt;D6,0,IF($B$13=D6,0.5,IF($B$13&lt;D6,1)))</f>
        <v>0</v>
      </c>
      <c r="AZ49" s="1">
        <f t="shared" si="42"/>
        <v>0</v>
      </c>
      <c r="BA49" s="1">
        <f t="shared" si="42"/>
        <v>0</v>
      </c>
      <c r="BB49" s="1">
        <f t="shared" si="42"/>
        <v>1</v>
      </c>
      <c r="BC49" s="1">
        <f t="shared" si="42"/>
        <v>0</v>
      </c>
      <c r="BE49" s="1">
        <f>IF($B$14&gt;C6,0,IF($B$14=C6,0.5,IF($B$14&lt;C6,1)))</f>
        <v>0</v>
      </c>
      <c r="BF49" s="1">
        <f t="shared" ref="BF49:BJ58" si="43">IF($B$14&gt;D6,0,IF($B$14=D6,0.5,IF($B$14&lt;D6,1)))</f>
        <v>0.5</v>
      </c>
      <c r="BG49" s="1">
        <f t="shared" si="43"/>
        <v>0.5</v>
      </c>
      <c r="BH49" s="1">
        <f t="shared" si="43"/>
        <v>0.5</v>
      </c>
      <c r="BI49" s="1">
        <f t="shared" si="43"/>
        <v>1</v>
      </c>
      <c r="BJ49" s="1">
        <f t="shared" si="43"/>
        <v>1</v>
      </c>
      <c r="BL49" s="1">
        <f>IF($B$15&gt;C6,0,IF($B$15=C6,0.5,IF($B$15&lt;C6,1)))</f>
        <v>0</v>
      </c>
      <c r="BM49" s="1">
        <f t="shared" ref="BM49:BQ58" si="44">IF($B$15&gt;D6,0,IF($B$15=D6,0.5,IF($B$15&lt;D6,1)))</f>
        <v>0</v>
      </c>
      <c r="BN49" s="1">
        <f t="shared" si="44"/>
        <v>0</v>
      </c>
      <c r="BO49" s="1">
        <f t="shared" si="44"/>
        <v>0</v>
      </c>
      <c r="BP49" s="1">
        <f t="shared" si="44"/>
        <v>1</v>
      </c>
      <c r="BQ49" s="1">
        <f t="shared" si="44"/>
        <v>0.5</v>
      </c>
    </row>
    <row r="50" spans="1:69" x14ac:dyDescent="0.3">
      <c r="A50" s="1">
        <f t="shared" ref="A50:A58" si="45">IF($B$6&gt;C7,0,IF($B$6=C7,0.5,IF($B$6&lt;C7,1)))</f>
        <v>0.5</v>
      </c>
      <c r="B50" s="1">
        <f t="shared" si="35"/>
        <v>0</v>
      </c>
      <c r="C50" s="1">
        <f t="shared" si="35"/>
        <v>0.5</v>
      </c>
      <c r="D50" s="1">
        <f t="shared" si="35"/>
        <v>1</v>
      </c>
      <c r="E50" s="1">
        <f t="shared" si="35"/>
        <v>0</v>
      </c>
      <c r="F50" s="1">
        <f t="shared" si="35"/>
        <v>1</v>
      </c>
      <c r="H50" s="1">
        <f t="shared" ref="H50:H58" si="46">IF($B$7&gt;C7,0,IF($B$7=C7,0.5,IF($B$7&lt;C7,1)))</f>
        <v>0</v>
      </c>
      <c r="I50" s="1">
        <f t="shared" si="36"/>
        <v>0</v>
      </c>
      <c r="J50" s="1">
        <f t="shared" si="36"/>
        <v>0</v>
      </c>
      <c r="K50" s="1">
        <f t="shared" si="36"/>
        <v>0</v>
      </c>
      <c r="L50" s="1">
        <f t="shared" si="36"/>
        <v>0</v>
      </c>
      <c r="M50" s="1">
        <f t="shared" si="36"/>
        <v>0</v>
      </c>
      <c r="O50" s="1">
        <f t="shared" ref="O50:O58" si="47">IF($B$8&gt;C7,0,IF($B$8=C7,0.5,IF($B$8&lt;C7,1)))</f>
        <v>1</v>
      </c>
      <c r="P50" s="1">
        <f t="shared" si="37"/>
        <v>1</v>
      </c>
      <c r="Q50" s="1">
        <f t="shared" si="37"/>
        <v>1</v>
      </c>
      <c r="R50" s="1">
        <f t="shared" si="37"/>
        <v>1</v>
      </c>
      <c r="S50" s="1">
        <f t="shared" si="37"/>
        <v>0.5</v>
      </c>
      <c r="T50" s="1">
        <f t="shared" si="37"/>
        <v>1</v>
      </c>
      <c r="V50" s="1">
        <f t="shared" ref="V50:V58" si="48">IF($B$9&gt;C7,0,IF($B$9=C7,0.5,IF($B$9&lt;C7,1)))</f>
        <v>0.5</v>
      </c>
      <c r="W50" s="1">
        <f t="shared" si="38"/>
        <v>0</v>
      </c>
      <c r="X50" s="1">
        <f t="shared" si="38"/>
        <v>0.5</v>
      </c>
      <c r="Y50" s="1">
        <f t="shared" si="38"/>
        <v>1</v>
      </c>
      <c r="Z50" s="1">
        <f t="shared" si="38"/>
        <v>0</v>
      </c>
      <c r="AA50" s="1">
        <f t="shared" si="38"/>
        <v>1</v>
      </c>
      <c r="AC50" s="1">
        <f t="shared" ref="AC50:AC58" si="49">IF($B$10&gt;C7,0,IF($B$10=C7,0.5,IF($B$10&lt;C7,1)))</f>
        <v>0</v>
      </c>
      <c r="AD50" s="1">
        <f t="shared" si="39"/>
        <v>0</v>
      </c>
      <c r="AE50" s="1">
        <f t="shared" si="39"/>
        <v>0</v>
      </c>
      <c r="AF50" s="1">
        <f t="shared" si="39"/>
        <v>0.5</v>
      </c>
      <c r="AG50" s="1">
        <f t="shared" si="39"/>
        <v>0</v>
      </c>
      <c r="AH50" s="1">
        <f t="shared" si="39"/>
        <v>0</v>
      </c>
      <c r="AJ50" s="1">
        <f t="shared" ref="AJ50:AJ58" si="50">IF($B$11&gt;C7,0,IF($B$11=C7,0.5,IF($B$11&lt;C7,1)))</f>
        <v>0</v>
      </c>
      <c r="AK50" s="1">
        <f t="shared" si="40"/>
        <v>0</v>
      </c>
      <c r="AL50" s="1">
        <f t="shared" si="40"/>
        <v>0</v>
      </c>
      <c r="AM50" s="1">
        <f t="shared" si="40"/>
        <v>0</v>
      </c>
      <c r="AN50" s="1">
        <f t="shared" si="40"/>
        <v>0</v>
      </c>
      <c r="AO50" s="1">
        <f t="shared" si="40"/>
        <v>0</v>
      </c>
      <c r="AQ50" s="1">
        <f t="shared" ref="AQ50:AQ58" si="51">IF($B$12&gt;C7,0,IF($B$12=C7,0.5,IF($B$12&lt;C7,1)))</f>
        <v>0</v>
      </c>
      <c r="AR50" s="1">
        <f t="shared" si="41"/>
        <v>0</v>
      </c>
      <c r="AS50" s="1">
        <f t="shared" si="41"/>
        <v>0</v>
      </c>
      <c r="AT50" s="1">
        <f t="shared" si="41"/>
        <v>1</v>
      </c>
      <c r="AU50" s="1">
        <f t="shared" si="41"/>
        <v>0</v>
      </c>
      <c r="AV50" s="1">
        <f t="shared" si="41"/>
        <v>0.5</v>
      </c>
      <c r="AX50" s="1">
        <f t="shared" ref="AX50:AX58" si="52">IF($B$13&gt;C7,0,IF($B$13=C7,0.5,IF($B$13&lt;C7,1)))</f>
        <v>0</v>
      </c>
      <c r="AY50" s="1">
        <f t="shared" si="42"/>
        <v>0</v>
      </c>
      <c r="AZ50" s="1">
        <f t="shared" si="42"/>
        <v>0</v>
      </c>
      <c r="BA50" s="1">
        <f t="shared" si="42"/>
        <v>0</v>
      </c>
      <c r="BB50" s="1">
        <f t="shared" si="42"/>
        <v>0</v>
      </c>
      <c r="BC50" s="1">
        <f t="shared" si="42"/>
        <v>0</v>
      </c>
      <c r="BE50" s="1">
        <f t="shared" ref="BE50:BE58" si="53">IF($B$14&gt;C7,0,IF($B$14=C7,0.5,IF($B$14&lt;C7,1)))</f>
        <v>0</v>
      </c>
      <c r="BF50" s="1">
        <f t="shared" si="43"/>
        <v>0</v>
      </c>
      <c r="BG50" s="1">
        <f t="shared" si="43"/>
        <v>0</v>
      </c>
      <c r="BH50" s="1">
        <f t="shared" si="43"/>
        <v>1</v>
      </c>
      <c r="BI50" s="1">
        <f t="shared" si="43"/>
        <v>0</v>
      </c>
      <c r="BJ50" s="1">
        <f t="shared" si="43"/>
        <v>0.5</v>
      </c>
      <c r="BL50" s="1">
        <f t="shared" ref="BL50:BL58" si="54">IF($B$15&gt;C7,0,IF($B$15=C7,0.5,IF($B$15&lt;C7,1)))</f>
        <v>0</v>
      </c>
      <c r="BM50" s="1">
        <f t="shared" si="44"/>
        <v>0</v>
      </c>
      <c r="BN50" s="1">
        <f t="shared" si="44"/>
        <v>0</v>
      </c>
      <c r="BO50" s="1">
        <f t="shared" si="44"/>
        <v>0.5</v>
      </c>
      <c r="BP50" s="1">
        <f t="shared" si="44"/>
        <v>0</v>
      </c>
      <c r="BQ50" s="1">
        <f t="shared" si="44"/>
        <v>0</v>
      </c>
    </row>
    <row r="51" spans="1:69" x14ac:dyDescent="0.3">
      <c r="A51" s="1">
        <f t="shared" si="45"/>
        <v>0</v>
      </c>
      <c r="B51" s="1">
        <f t="shared" si="35"/>
        <v>0</v>
      </c>
      <c r="C51" s="1">
        <f t="shared" si="35"/>
        <v>0.5</v>
      </c>
      <c r="D51" s="1">
        <f t="shared" si="35"/>
        <v>0</v>
      </c>
      <c r="E51" s="1">
        <f t="shared" si="35"/>
        <v>0</v>
      </c>
      <c r="F51" s="1">
        <f t="shared" si="35"/>
        <v>1</v>
      </c>
      <c r="H51" s="1">
        <f t="shared" si="46"/>
        <v>0</v>
      </c>
      <c r="I51" s="1">
        <f t="shared" si="36"/>
        <v>0</v>
      </c>
      <c r="J51" s="1">
        <f t="shared" si="36"/>
        <v>0</v>
      </c>
      <c r="K51" s="1">
        <f t="shared" si="36"/>
        <v>0</v>
      </c>
      <c r="L51" s="1">
        <f t="shared" si="36"/>
        <v>0</v>
      </c>
      <c r="M51" s="1">
        <f t="shared" si="36"/>
        <v>0.5</v>
      </c>
      <c r="O51" s="1">
        <f t="shared" si="47"/>
        <v>1</v>
      </c>
      <c r="P51" s="1">
        <f t="shared" si="37"/>
        <v>1</v>
      </c>
      <c r="Q51" s="1">
        <f t="shared" si="37"/>
        <v>1</v>
      </c>
      <c r="R51" s="1">
        <f t="shared" si="37"/>
        <v>1</v>
      </c>
      <c r="S51" s="1">
        <f t="shared" si="37"/>
        <v>1</v>
      </c>
      <c r="T51" s="1">
        <f t="shared" si="37"/>
        <v>1</v>
      </c>
      <c r="V51" s="1">
        <f t="shared" si="48"/>
        <v>0</v>
      </c>
      <c r="W51" s="1">
        <f t="shared" si="38"/>
        <v>0</v>
      </c>
      <c r="X51" s="1">
        <f t="shared" si="38"/>
        <v>0.5</v>
      </c>
      <c r="Y51" s="1">
        <f t="shared" si="38"/>
        <v>0</v>
      </c>
      <c r="Z51" s="1">
        <f t="shared" si="38"/>
        <v>0</v>
      </c>
      <c r="AA51" s="1">
        <f t="shared" si="38"/>
        <v>1</v>
      </c>
      <c r="AC51" s="1">
        <f t="shared" si="49"/>
        <v>0</v>
      </c>
      <c r="AD51" s="1">
        <f t="shared" si="39"/>
        <v>0</v>
      </c>
      <c r="AE51" s="1">
        <f t="shared" si="39"/>
        <v>0</v>
      </c>
      <c r="AF51" s="1">
        <f t="shared" si="39"/>
        <v>0</v>
      </c>
      <c r="AG51" s="1">
        <f t="shared" si="39"/>
        <v>0</v>
      </c>
      <c r="AH51" s="1">
        <f t="shared" si="39"/>
        <v>1</v>
      </c>
      <c r="AJ51" s="1">
        <f t="shared" si="50"/>
        <v>0</v>
      </c>
      <c r="AK51" s="1">
        <f t="shared" si="40"/>
        <v>0</v>
      </c>
      <c r="AL51" s="1">
        <f t="shared" si="40"/>
        <v>0</v>
      </c>
      <c r="AM51" s="1">
        <f t="shared" si="40"/>
        <v>0</v>
      </c>
      <c r="AN51" s="1">
        <f t="shared" si="40"/>
        <v>0</v>
      </c>
      <c r="AO51" s="1">
        <f t="shared" si="40"/>
        <v>0.5</v>
      </c>
      <c r="AQ51" s="1">
        <f t="shared" si="51"/>
        <v>0</v>
      </c>
      <c r="AR51" s="1">
        <f t="shared" si="41"/>
        <v>0</v>
      </c>
      <c r="AS51" s="1">
        <f t="shared" si="41"/>
        <v>0</v>
      </c>
      <c r="AT51" s="1">
        <f t="shared" si="41"/>
        <v>0</v>
      </c>
      <c r="AU51" s="1">
        <f t="shared" si="41"/>
        <v>0</v>
      </c>
      <c r="AV51" s="1">
        <f t="shared" si="41"/>
        <v>1</v>
      </c>
      <c r="AX51" s="1">
        <f t="shared" si="52"/>
        <v>0</v>
      </c>
      <c r="AY51" s="1">
        <f t="shared" si="42"/>
        <v>0</v>
      </c>
      <c r="AZ51" s="1">
        <f t="shared" si="42"/>
        <v>0</v>
      </c>
      <c r="BA51" s="1">
        <f t="shared" si="42"/>
        <v>0</v>
      </c>
      <c r="BB51" s="1">
        <f t="shared" si="42"/>
        <v>0</v>
      </c>
      <c r="BC51" s="1">
        <f t="shared" si="42"/>
        <v>0</v>
      </c>
      <c r="BE51" s="1">
        <f t="shared" si="53"/>
        <v>0</v>
      </c>
      <c r="BF51" s="1">
        <f t="shared" si="43"/>
        <v>0</v>
      </c>
      <c r="BG51" s="1">
        <f t="shared" si="43"/>
        <v>0</v>
      </c>
      <c r="BH51" s="1">
        <f t="shared" si="43"/>
        <v>0</v>
      </c>
      <c r="BI51" s="1">
        <f t="shared" si="43"/>
        <v>0</v>
      </c>
      <c r="BJ51" s="1">
        <f t="shared" si="43"/>
        <v>1</v>
      </c>
      <c r="BL51" s="1">
        <f t="shared" si="54"/>
        <v>0</v>
      </c>
      <c r="BM51" s="1">
        <f t="shared" si="44"/>
        <v>0</v>
      </c>
      <c r="BN51" s="1">
        <f t="shared" si="44"/>
        <v>0</v>
      </c>
      <c r="BO51" s="1">
        <f t="shared" si="44"/>
        <v>0</v>
      </c>
      <c r="BP51" s="1">
        <f t="shared" si="44"/>
        <v>0</v>
      </c>
      <c r="BQ51" s="1">
        <f t="shared" si="44"/>
        <v>1</v>
      </c>
    </row>
    <row r="52" spans="1:69" x14ac:dyDescent="0.3">
      <c r="A52" s="1">
        <f t="shared" si="45"/>
        <v>1</v>
      </c>
      <c r="B52" s="1">
        <f t="shared" si="35"/>
        <v>1</v>
      </c>
      <c r="C52" s="1">
        <f t="shared" si="35"/>
        <v>1</v>
      </c>
      <c r="D52" s="1">
        <f t="shared" si="35"/>
        <v>0.5</v>
      </c>
      <c r="E52" s="1">
        <f t="shared" si="35"/>
        <v>0</v>
      </c>
      <c r="F52" s="1">
        <f t="shared" si="35"/>
        <v>0.5</v>
      </c>
      <c r="H52" s="1">
        <f t="shared" si="46"/>
        <v>1</v>
      </c>
      <c r="I52" s="1">
        <f t="shared" si="36"/>
        <v>0</v>
      </c>
      <c r="J52" s="1">
        <f t="shared" si="36"/>
        <v>1</v>
      </c>
      <c r="K52" s="1">
        <f t="shared" si="36"/>
        <v>0</v>
      </c>
      <c r="L52" s="1">
        <f t="shared" si="36"/>
        <v>0</v>
      </c>
      <c r="M52" s="1">
        <f t="shared" si="36"/>
        <v>0</v>
      </c>
      <c r="O52" s="1">
        <f t="shared" si="47"/>
        <v>1</v>
      </c>
      <c r="P52" s="1">
        <f t="shared" si="37"/>
        <v>1</v>
      </c>
      <c r="Q52" s="1">
        <f t="shared" si="37"/>
        <v>1</v>
      </c>
      <c r="R52" s="1">
        <f t="shared" si="37"/>
        <v>1</v>
      </c>
      <c r="S52" s="1">
        <f t="shared" si="37"/>
        <v>1</v>
      </c>
      <c r="T52" s="1">
        <f t="shared" si="37"/>
        <v>1</v>
      </c>
      <c r="V52" s="1">
        <f t="shared" si="48"/>
        <v>1</v>
      </c>
      <c r="W52" s="1">
        <f t="shared" si="38"/>
        <v>1</v>
      </c>
      <c r="X52" s="1">
        <f t="shared" si="38"/>
        <v>1</v>
      </c>
      <c r="Y52" s="1">
        <f t="shared" si="38"/>
        <v>0.5</v>
      </c>
      <c r="Z52" s="1">
        <f t="shared" si="38"/>
        <v>0</v>
      </c>
      <c r="AA52" s="1">
        <f t="shared" si="38"/>
        <v>0.5</v>
      </c>
      <c r="AC52" s="1">
        <f t="shared" si="49"/>
        <v>1</v>
      </c>
      <c r="AD52" s="1">
        <f t="shared" si="39"/>
        <v>0.5</v>
      </c>
      <c r="AE52" s="1">
        <f t="shared" si="39"/>
        <v>1</v>
      </c>
      <c r="AF52" s="1">
        <f t="shared" si="39"/>
        <v>0</v>
      </c>
      <c r="AG52" s="1">
        <f t="shared" si="39"/>
        <v>0</v>
      </c>
      <c r="AH52" s="1">
        <f t="shared" si="39"/>
        <v>0</v>
      </c>
      <c r="AJ52" s="1">
        <f t="shared" si="50"/>
        <v>1</v>
      </c>
      <c r="AK52" s="1">
        <f t="shared" si="40"/>
        <v>0</v>
      </c>
      <c r="AL52" s="1">
        <f t="shared" si="40"/>
        <v>1</v>
      </c>
      <c r="AM52" s="1">
        <f t="shared" si="40"/>
        <v>0</v>
      </c>
      <c r="AN52" s="1">
        <f t="shared" si="40"/>
        <v>0</v>
      </c>
      <c r="AO52" s="1">
        <f t="shared" si="40"/>
        <v>0</v>
      </c>
      <c r="AQ52" s="1">
        <f t="shared" si="51"/>
        <v>1</v>
      </c>
      <c r="AR52" s="1">
        <f t="shared" si="41"/>
        <v>1</v>
      </c>
      <c r="AS52" s="1">
        <f t="shared" si="41"/>
        <v>1</v>
      </c>
      <c r="AT52" s="1">
        <f t="shared" si="41"/>
        <v>0</v>
      </c>
      <c r="AU52" s="1">
        <f t="shared" si="41"/>
        <v>0</v>
      </c>
      <c r="AV52" s="1">
        <f t="shared" si="41"/>
        <v>0</v>
      </c>
      <c r="AX52" s="1">
        <f t="shared" si="52"/>
        <v>0.5</v>
      </c>
      <c r="AY52" s="1">
        <f t="shared" si="42"/>
        <v>0</v>
      </c>
      <c r="AZ52" s="1">
        <f t="shared" si="42"/>
        <v>0.5</v>
      </c>
      <c r="BA52" s="1">
        <f t="shared" si="42"/>
        <v>0</v>
      </c>
      <c r="BB52" s="1">
        <f t="shared" si="42"/>
        <v>0</v>
      </c>
      <c r="BC52" s="1">
        <f t="shared" si="42"/>
        <v>0</v>
      </c>
      <c r="BE52" s="1">
        <f t="shared" si="53"/>
        <v>1</v>
      </c>
      <c r="BF52" s="1">
        <f t="shared" si="43"/>
        <v>1</v>
      </c>
      <c r="BG52" s="1">
        <f t="shared" si="43"/>
        <v>1</v>
      </c>
      <c r="BH52" s="1">
        <f t="shared" si="43"/>
        <v>0</v>
      </c>
      <c r="BI52" s="1">
        <f t="shared" si="43"/>
        <v>0</v>
      </c>
      <c r="BJ52" s="1">
        <f t="shared" si="43"/>
        <v>0</v>
      </c>
      <c r="BL52" s="1">
        <f t="shared" si="54"/>
        <v>1</v>
      </c>
      <c r="BM52" s="1">
        <f t="shared" si="44"/>
        <v>0.5</v>
      </c>
      <c r="BN52" s="1">
        <f t="shared" si="44"/>
        <v>1</v>
      </c>
      <c r="BO52" s="1">
        <f t="shared" si="44"/>
        <v>0</v>
      </c>
      <c r="BP52" s="1">
        <f t="shared" si="44"/>
        <v>0</v>
      </c>
      <c r="BQ52" s="1">
        <f t="shared" si="44"/>
        <v>0</v>
      </c>
    </row>
    <row r="53" spans="1:69" x14ac:dyDescent="0.3">
      <c r="A53" s="1">
        <f t="shared" si="45"/>
        <v>1</v>
      </c>
      <c r="B53" s="1">
        <f t="shared" si="35"/>
        <v>0</v>
      </c>
      <c r="C53" s="1">
        <f t="shared" si="35"/>
        <v>0</v>
      </c>
      <c r="D53" s="1">
        <f t="shared" si="35"/>
        <v>1</v>
      </c>
      <c r="E53" s="1">
        <f t="shared" si="35"/>
        <v>1</v>
      </c>
      <c r="F53" s="1">
        <f t="shared" si="35"/>
        <v>1</v>
      </c>
      <c r="H53" s="1">
        <f t="shared" si="46"/>
        <v>0</v>
      </c>
      <c r="I53" s="1">
        <f t="shared" si="36"/>
        <v>0</v>
      </c>
      <c r="J53" s="1">
        <f t="shared" si="36"/>
        <v>0</v>
      </c>
      <c r="K53" s="1">
        <f t="shared" si="36"/>
        <v>0</v>
      </c>
      <c r="L53" s="1">
        <f t="shared" si="36"/>
        <v>0</v>
      </c>
      <c r="M53" s="1">
        <f t="shared" si="36"/>
        <v>1</v>
      </c>
      <c r="O53" s="1">
        <f t="shared" si="47"/>
        <v>1</v>
      </c>
      <c r="P53" s="1">
        <f t="shared" si="37"/>
        <v>0</v>
      </c>
      <c r="Q53" s="1">
        <f t="shared" si="37"/>
        <v>1</v>
      </c>
      <c r="R53" s="1">
        <f t="shared" si="37"/>
        <v>1</v>
      </c>
      <c r="S53" s="1">
        <f t="shared" si="37"/>
        <v>1</v>
      </c>
      <c r="T53" s="1">
        <f t="shared" si="37"/>
        <v>1</v>
      </c>
      <c r="V53" s="1">
        <f t="shared" si="48"/>
        <v>1</v>
      </c>
      <c r="W53" s="1">
        <f t="shared" si="38"/>
        <v>0</v>
      </c>
      <c r="X53" s="1">
        <f t="shared" si="38"/>
        <v>0</v>
      </c>
      <c r="Y53" s="1">
        <f t="shared" si="38"/>
        <v>1</v>
      </c>
      <c r="Z53" s="1">
        <f t="shared" si="38"/>
        <v>1</v>
      </c>
      <c r="AA53" s="1">
        <f t="shared" si="38"/>
        <v>1</v>
      </c>
      <c r="AC53" s="1">
        <f t="shared" si="49"/>
        <v>0.5</v>
      </c>
      <c r="AD53" s="1">
        <f t="shared" si="39"/>
        <v>0</v>
      </c>
      <c r="AE53" s="1">
        <f t="shared" si="39"/>
        <v>0</v>
      </c>
      <c r="AF53" s="1">
        <f t="shared" si="39"/>
        <v>0</v>
      </c>
      <c r="AG53" s="1">
        <f t="shared" si="39"/>
        <v>0</v>
      </c>
      <c r="AH53" s="1">
        <f t="shared" si="39"/>
        <v>1</v>
      </c>
      <c r="AJ53" s="1">
        <f t="shared" si="50"/>
        <v>0</v>
      </c>
      <c r="AK53" s="1">
        <f t="shared" si="40"/>
        <v>0</v>
      </c>
      <c r="AL53" s="1">
        <f t="shared" si="40"/>
        <v>0</v>
      </c>
      <c r="AM53" s="1">
        <f t="shared" si="40"/>
        <v>0</v>
      </c>
      <c r="AN53" s="1">
        <f t="shared" si="40"/>
        <v>0</v>
      </c>
      <c r="AO53" s="1">
        <f t="shared" si="40"/>
        <v>1</v>
      </c>
      <c r="AQ53" s="1">
        <f t="shared" si="51"/>
        <v>1</v>
      </c>
      <c r="AR53" s="1">
        <f t="shared" si="41"/>
        <v>0</v>
      </c>
      <c r="AS53" s="1">
        <f t="shared" si="41"/>
        <v>0</v>
      </c>
      <c r="AT53" s="1">
        <f t="shared" si="41"/>
        <v>0.5</v>
      </c>
      <c r="AU53" s="1">
        <f t="shared" si="41"/>
        <v>0.5</v>
      </c>
      <c r="AV53" s="1">
        <f t="shared" si="41"/>
        <v>1</v>
      </c>
      <c r="AX53" s="1">
        <f t="shared" si="52"/>
        <v>0</v>
      </c>
      <c r="AY53" s="1">
        <f t="shared" si="42"/>
        <v>0</v>
      </c>
      <c r="AZ53" s="1">
        <f t="shared" si="42"/>
        <v>0</v>
      </c>
      <c r="BA53" s="1">
        <f t="shared" si="42"/>
        <v>0</v>
      </c>
      <c r="BB53" s="1">
        <f t="shared" si="42"/>
        <v>0</v>
      </c>
      <c r="BC53" s="1">
        <f t="shared" si="42"/>
        <v>0.5</v>
      </c>
      <c r="BE53" s="1">
        <f t="shared" si="53"/>
        <v>1</v>
      </c>
      <c r="BF53" s="1">
        <f t="shared" si="43"/>
        <v>0</v>
      </c>
      <c r="BG53" s="1">
        <f t="shared" si="43"/>
        <v>0</v>
      </c>
      <c r="BH53" s="1">
        <f t="shared" si="43"/>
        <v>0.5</v>
      </c>
      <c r="BI53" s="1">
        <f t="shared" si="43"/>
        <v>0.5</v>
      </c>
      <c r="BJ53" s="1">
        <f t="shared" si="43"/>
        <v>1</v>
      </c>
      <c r="BL53" s="1">
        <f t="shared" si="54"/>
        <v>0.5</v>
      </c>
      <c r="BM53" s="1">
        <f t="shared" si="44"/>
        <v>0</v>
      </c>
      <c r="BN53" s="1">
        <f t="shared" si="44"/>
        <v>0</v>
      </c>
      <c r="BO53" s="1">
        <f t="shared" si="44"/>
        <v>0</v>
      </c>
      <c r="BP53" s="1">
        <f t="shared" si="44"/>
        <v>0</v>
      </c>
      <c r="BQ53" s="1">
        <f t="shared" si="44"/>
        <v>1</v>
      </c>
    </row>
    <row r="54" spans="1:69" x14ac:dyDescent="0.3">
      <c r="A54" s="1">
        <f t="shared" si="45"/>
        <v>1</v>
      </c>
      <c r="B54" s="1">
        <f t="shared" si="35"/>
        <v>0</v>
      </c>
      <c r="C54" s="1">
        <f t="shared" si="35"/>
        <v>1</v>
      </c>
      <c r="D54" s="1">
        <f t="shared" si="35"/>
        <v>1</v>
      </c>
      <c r="E54" s="1">
        <f t="shared" si="35"/>
        <v>1</v>
      </c>
      <c r="F54" s="1">
        <f t="shared" si="35"/>
        <v>1</v>
      </c>
      <c r="H54" s="1">
        <f t="shared" si="46"/>
        <v>0</v>
      </c>
      <c r="I54" s="1">
        <f t="shared" si="36"/>
        <v>0</v>
      </c>
      <c r="J54" s="1">
        <f t="shared" si="36"/>
        <v>0</v>
      </c>
      <c r="K54" s="1">
        <f t="shared" si="36"/>
        <v>1</v>
      </c>
      <c r="L54" s="1">
        <f t="shared" si="36"/>
        <v>0</v>
      </c>
      <c r="M54" s="1">
        <f t="shared" si="36"/>
        <v>1</v>
      </c>
      <c r="O54" s="1">
        <f t="shared" si="47"/>
        <v>1</v>
      </c>
      <c r="P54" s="1">
        <f t="shared" si="37"/>
        <v>1</v>
      </c>
      <c r="Q54" s="1">
        <f t="shared" si="37"/>
        <v>1</v>
      </c>
      <c r="R54" s="1">
        <f t="shared" si="37"/>
        <v>1</v>
      </c>
      <c r="S54" s="1">
        <f t="shared" si="37"/>
        <v>1</v>
      </c>
      <c r="T54" s="1">
        <f t="shared" si="37"/>
        <v>1</v>
      </c>
      <c r="V54" s="1">
        <f t="shared" si="48"/>
        <v>1</v>
      </c>
      <c r="W54" s="1">
        <f t="shared" si="38"/>
        <v>0</v>
      </c>
      <c r="X54" s="1">
        <f t="shared" si="38"/>
        <v>1</v>
      </c>
      <c r="Y54" s="1">
        <f t="shared" si="38"/>
        <v>1</v>
      </c>
      <c r="Z54" s="1">
        <f t="shared" si="38"/>
        <v>1</v>
      </c>
      <c r="AA54" s="1">
        <f t="shared" si="38"/>
        <v>1</v>
      </c>
      <c r="AC54" s="1">
        <f t="shared" si="49"/>
        <v>0</v>
      </c>
      <c r="AD54" s="1">
        <f t="shared" si="39"/>
        <v>0</v>
      </c>
      <c r="AE54" s="1">
        <f t="shared" si="39"/>
        <v>0</v>
      </c>
      <c r="AF54" s="1">
        <f t="shared" si="39"/>
        <v>1</v>
      </c>
      <c r="AG54" s="1">
        <f t="shared" si="39"/>
        <v>0</v>
      </c>
      <c r="AH54" s="1">
        <f t="shared" si="39"/>
        <v>1</v>
      </c>
      <c r="AJ54" s="1">
        <f t="shared" si="50"/>
        <v>0</v>
      </c>
      <c r="AK54" s="1">
        <f t="shared" si="40"/>
        <v>0</v>
      </c>
      <c r="AL54" s="1">
        <f t="shared" si="40"/>
        <v>0</v>
      </c>
      <c r="AM54" s="1">
        <f t="shared" si="40"/>
        <v>1</v>
      </c>
      <c r="AN54" s="1">
        <f t="shared" si="40"/>
        <v>0</v>
      </c>
      <c r="AO54" s="1">
        <f t="shared" si="40"/>
        <v>1</v>
      </c>
      <c r="AQ54" s="1">
        <f t="shared" si="51"/>
        <v>0.5</v>
      </c>
      <c r="AR54" s="1">
        <f t="shared" si="41"/>
        <v>0</v>
      </c>
      <c r="AS54" s="1">
        <f t="shared" si="41"/>
        <v>0.5</v>
      </c>
      <c r="AT54" s="1">
        <f t="shared" si="41"/>
        <v>1</v>
      </c>
      <c r="AU54" s="1">
        <f t="shared" si="41"/>
        <v>0.5</v>
      </c>
      <c r="AV54" s="1">
        <f t="shared" si="41"/>
        <v>1</v>
      </c>
      <c r="AX54" s="1">
        <f t="shared" si="52"/>
        <v>0</v>
      </c>
      <c r="AY54" s="1">
        <f t="shared" si="42"/>
        <v>0</v>
      </c>
      <c r="AZ54" s="1">
        <f t="shared" si="42"/>
        <v>0</v>
      </c>
      <c r="BA54" s="1">
        <f t="shared" si="42"/>
        <v>1</v>
      </c>
      <c r="BB54" s="1">
        <f t="shared" si="42"/>
        <v>0</v>
      </c>
      <c r="BC54" s="1">
        <f t="shared" si="42"/>
        <v>0.5</v>
      </c>
      <c r="BE54" s="1">
        <f t="shared" si="53"/>
        <v>0.5</v>
      </c>
      <c r="BF54" s="1">
        <f t="shared" si="43"/>
        <v>0</v>
      </c>
      <c r="BG54" s="1">
        <f t="shared" si="43"/>
        <v>0.5</v>
      </c>
      <c r="BH54" s="1">
        <f t="shared" si="43"/>
        <v>1</v>
      </c>
      <c r="BI54" s="1">
        <f t="shared" si="43"/>
        <v>0.5</v>
      </c>
      <c r="BJ54" s="1">
        <f t="shared" si="43"/>
        <v>1</v>
      </c>
      <c r="BL54" s="1">
        <f t="shared" si="54"/>
        <v>0</v>
      </c>
      <c r="BM54" s="1">
        <f t="shared" si="44"/>
        <v>0</v>
      </c>
      <c r="BN54" s="1">
        <f t="shared" si="44"/>
        <v>0</v>
      </c>
      <c r="BO54" s="1">
        <f t="shared" si="44"/>
        <v>1</v>
      </c>
      <c r="BP54" s="1">
        <f t="shared" si="44"/>
        <v>0</v>
      </c>
      <c r="BQ54" s="1">
        <f t="shared" si="44"/>
        <v>1</v>
      </c>
    </row>
    <row r="55" spans="1:69" x14ac:dyDescent="0.3">
      <c r="A55" s="1">
        <f t="shared" si="45"/>
        <v>1</v>
      </c>
      <c r="B55" s="1">
        <f t="shared" si="35"/>
        <v>1</v>
      </c>
      <c r="C55" s="1">
        <f t="shared" si="35"/>
        <v>0</v>
      </c>
      <c r="D55" s="1">
        <f t="shared" si="35"/>
        <v>0.5</v>
      </c>
      <c r="E55" s="1">
        <f t="shared" si="35"/>
        <v>1</v>
      </c>
      <c r="F55" s="1">
        <f t="shared" si="35"/>
        <v>1</v>
      </c>
      <c r="H55" s="1">
        <f t="shared" si="46"/>
        <v>0</v>
      </c>
      <c r="I55" s="1">
        <f t="shared" si="36"/>
        <v>0</v>
      </c>
      <c r="J55" s="1">
        <f t="shared" si="36"/>
        <v>0</v>
      </c>
      <c r="K55" s="1">
        <f t="shared" si="36"/>
        <v>0</v>
      </c>
      <c r="L55" s="1">
        <f t="shared" si="36"/>
        <v>0</v>
      </c>
      <c r="M55" s="1">
        <f t="shared" si="36"/>
        <v>0</v>
      </c>
      <c r="O55" s="1">
        <f t="shared" si="47"/>
        <v>1</v>
      </c>
      <c r="P55" s="1">
        <f t="shared" si="37"/>
        <v>1</v>
      </c>
      <c r="Q55" s="1">
        <f t="shared" si="37"/>
        <v>1</v>
      </c>
      <c r="R55" s="1">
        <f t="shared" si="37"/>
        <v>1</v>
      </c>
      <c r="S55" s="1">
        <f t="shared" si="37"/>
        <v>1</v>
      </c>
      <c r="T55" s="1">
        <f t="shared" si="37"/>
        <v>1</v>
      </c>
      <c r="V55" s="1">
        <f t="shared" si="48"/>
        <v>1</v>
      </c>
      <c r="W55" s="1">
        <f t="shared" si="38"/>
        <v>1</v>
      </c>
      <c r="X55" s="1">
        <f t="shared" si="38"/>
        <v>0</v>
      </c>
      <c r="Y55" s="1">
        <f t="shared" si="38"/>
        <v>0.5</v>
      </c>
      <c r="Z55" s="1">
        <f t="shared" si="38"/>
        <v>1</v>
      </c>
      <c r="AA55" s="1">
        <f t="shared" si="38"/>
        <v>1</v>
      </c>
      <c r="AC55" s="1">
        <f t="shared" si="49"/>
        <v>0.5</v>
      </c>
      <c r="AD55" s="1">
        <f t="shared" si="39"/>
        <v>0</v>
      </c>
      <c r="AE55" s="1">
        <f t="shared" si="39"/>
        <v>0</v>
      </c>
      <c r="AF55" s="1">
        <f t="shared" si="39"/>
        <v>0</v>
      </c>
      <c r="AG55" s="1">
        <f t="shared" si="39"/>
        <v>0</v>
      </c>
      <c r="AH55" s="1">
        <f t="shared" si="39"/>
        <v>0</v>
      </c>
      <c r="AJ55" s="1">
        <f t="shared" si="50"/>
        <v>0</v>
      </c>
      <c r="AK55" s="1">
        <f t="shared" si="40"/>
        <v>0</v>
      </c>
      <c r="AL55" s="1">
        <f t="shared" si="40"/>
        <v>0</v>
      </c>
      <c r="AM55" s="1">
        <f t="shared" si="40"/>
        <v>0</v>
      </c>
      <c r="AN55" s="1">
        <f t="shared" si="40"/>
        <v>0</v>
      </c>
      <c r="AO55" s="1">
        <f t="shared" si="40"/>
        <v>0</v>
      </c>
      <c r="AQ55" s="1">
        <f t="shared" si="51"/>
        <v>1</v>
      </c>
      <c r="AR55" s="1">
        <f t="shared" si="41"/>
        <v>0.5</v>
      </c>
      <c r="AS55" s="1">
        <f t="shared" si="41"/>
        <v>0</v>
      </c>
      <c r="AT55" s="1">
        <f t="shared" si="41"/>
        <v>0</v>
      </c>
      <c r="AU55" s="1">
        <f t="shared" si="41"/>
        <v>0.5</v>
      </c>
      <c r="AV55" s="1">
        <f t="shared" si="41"/>
        <v>0.5</v>
      </c>
      <c r="AX55" s="1">
        <f t="shared" si="52"/>
        <v>0</v>
      </c>
      <c r="AY55" s="1">
        <f t="shared" si="42"/>
        <v>0</v>
      </c>
      <c r="AZ55" s="1">
        <f t="shared" si="42"/>
        <v>0</v>
      </c>
      <c r="BA55" s="1">
        <f t="shared" si="42"/>
        <v>0</v>
      </c>
      <c r="BB55" s="1">
        <f t="shared" si="42"/>
        <v>0</v>
      </c>
      <c r="BC55" s="1">
        <f t="shared" si="42"/>
        <v>0</v>
      </c>
      <c r="BE55" s="1">
        <f t="shared" si="53"/>
        <v>1</v>
      </c>
      <c r="BF55" s="1">
        <f t="shared" si="43"/>
        <v>0.5</v>
      </c>
      <c r="BG55" s="1">
        <f t="shared" si="43"/>
        <v>0</v>
      </c>
      <c r="BH55" s="1">
        <f t="shared" si="43"/>
        <v>0</v>
      </c>
      <c r="BI55" s="1">
        <f t="shared" si="43"/>
        <v>0.5</v>
      </c>
      <c r="BJ55" s="1">
        <f t="shared" si="43"/>
        <v>0.5</v>
      </c>
      <c r="BL55" s="1">
        <f t="shared" si="54"/>
        <v>0.5</v>
      </c>
      <c r="BM55" s="1">
        <f t="shared" si="44"/>
        <v>0</v>
      </c>
      <c r="BN55" s="1">
        <f t="shared" si="44"/>
        <v>0</v>
      </c>
      <c r="BO55" s="1">
        <f t="shared" si="44"/>
        <v>0</v>
      </c>
      <c r="BP55" s="1">
        <f t="shared" si="44"/>
        <v>0</v>
      </c>
      <c r="BQ55" s="1">
        <f t="shared" si="44"/>
        <v>0</v>
      </c>
    </row>
    <row r="56" spans="1:69" x14ac:dyDescent="0.3">
      <c r="A56" s="1">
        <f t="shared" si="45"/>
        <v>1</v>
      </c>
      <c r="B56" s="1">
        <f t="shared" si="35"/>
        <v>0.5</v>
      </c>
      <c r="C56" s="1">
        <f t="shared" si="35"/>
        <v>1</v>
      </c>
      <c r="D56" s="1">
        <f t="shared" si="35"/>
        <v>0</v>
      </c>
      <c r="E56" s="1">
        <f t="shared" si="35"/>
        <v>0</v>
      </c>
      <c r="F56" s="1">
        <f t="shared" si="35"/>
        <v>0</v>
      </c>
      <c r="H56" s="1">
        <f t="shared" si="46"/>
        <v>0</v>
      </c>
      <c r="I56" s="1">
        <f t="shared" si="36"/>
        <v>0</v>
      </c>
      <c r="J56" s="1">
        <f t="shared" si="36"/>
        <v>0</v>
      </c>
      <c r="K56" s="1">
        <f t="shared" si="36"/>
        <v>0</v>
      </c>
      <c r="L56" s="1">
        <f t="shared" si="36"/>
        <v>0</v>
      </c>
      <c r="M56" s="1">
        <f t="shared" si="36"/>
        <v>0</v>
      </c>
      <c r="O56" s="1">
        <f t="shared" si="47"/>
        <v>1</v>
      </c>
      <c r="P56" s="1">
        <f t="shared" si="37"/>
        <v>1</v>
      </c>
      <c r="Q56" s="1">
        <f t="shared" si="37"/>
        <v>1</v>
      </c>
      <c r="R56" s="1">
        <f t="shared" si="37"/>
        <v>1</v>
      </c>
      <c r="S56" s="1">
        <f t="shared" si="37"/>
        <v>0</v>
      </c>
      <c r="T56" s="1">
        <f t="shared" si="37"/>
        <v>0.5</v>
      </c>
      <c r="V56" s="1">
        <f t="shared" si="48"/>
        <v>1</v>
      </c>
      <c r="W56" s="1">
        <f t="shared" si="38"/>
        <v>0.5</v>
      </c>
      <c r="X56" s="1">
        <f t="shared" si="38"/>
        <v>1</v>
      </c>
      <c r="Y56" s="1">
        <f t="shared" si="38"/>
        <v>0</v>
      </c>
      <c r="Z56" s="1">
        <f t="shared" si="38"/>
        <v>0</v>
      </c>
      <c r="AA56" s="1">
        <f t="shared" si="38"/>
        <v>0</v>
      </c>
      <c r="AC56" s="1">
        <f t="shared" si="49"/>
        <v>0</v>
      </c>
      <c r="AD56" s="1">
        <f t="shared" si="39"/>
        <v>0</v>
      </c>
      <c r="AE56" s="1">
        <f t="shared" si="39"/>
        <v>0</v>
      </c>
      <c r="AF56" s="1">
        <f t="shared" si="39"/>
        <v>0</v>
      </c>
      <c r="AG56" s="1">
        <f t="shared" si="39"/>
        <v>0</v>
      </c>
      <c r="AH56" s="1">
        <f t="shared" si="39"/>
        <v>0</v>
      </c>
      <c r="AJ56" s="1">
        <f t="shared" si="50"/>
        <v>0</v>
      </c>
      <c r="AK56" s="1">
        <f t="shared" si="40"/>
        <v>0</v>
      </c>
      <c r="AL56" s="1">
        <f t="shared" si="40"/>
        <v>0</v>
      </c>
      <c r="AM56" s="1">
        <f t="shared" si="40"/>
        <v>0</v>
      </c>
      <c r="AN56" s="1">
        <f t="shared" si="40"/>
        <v>0</v>
      </c>
      <c r="AO56" s="1">
        <f t="shared" si="40"/>
        <v>0</v>
      </c>
      <c r="AQ56" s="1">
        <f t="shared" si="51"/>
        <v>0.5</v>
      </c>
      <c r="AR56" s="1">
        <f t="shared" si="41"/>
        <v>0</v>
      </c>
      <c r="AS56" s="1">
        <f t="shared" si="41"/>
        <v>0.5</v>
      </c>
      <c r="AT56" s="1">
        <f t="shared" si="41"/>
        <v>0</v>
      </c>
      <c r="AU56" s="1">
        <f t="shared" si="41"/>
        <v>0</v>
      </c>
      <c r="AV56" s="1">
        <f t="shared" si="41"/>
        <v>0</v>
      </c>
      <c r="AX56" s="1">
        <f t="shared" si="52"/>
        <v>0</v>
      </c>
      <c r="AY56" s="1">
        <f t="shared" si="42"/>
        <v>0</v>
      </c>
      <c r="AZ56" s="1">
        <f t="shared" si="42"/>
        <v>0</v>
      </c>
      <c r="BA56" s="1">
        <f t="shared" si="42"/>
        <v>0</v>
      </c>
      <c r="BB56" s="1">
        <f t="shared" si="42"/>
        <v>0</v>
      </c>
      <c r="BC56" s="1">
        <f t="shared" si="42"/>
        <v>0</v>
      </c>
      <c r="BE56" s="1">
        <f t="shared" si="53"/>
        <v>0.5</v>
      </c>
      <c r="BF56" s="1">
        <f t="shared" si="43"/>
        <v>0</v>
      </c>
      <c r="BG56" s="1">
        <f t="shared" si="43"/>
        <v>0.5</v>
      </c>
      <c r="BH56" s="1">
        <f t="shared" si="43"/>
        <v>0</v>
      </c>
      <c r="BI56" s="1">
        <f t="shared" si="43"/>
        <v>0</v>
      </c>
      <c r="BJ56" s="1">
        <f t="shared" si="43"/>
        <v>0</v>
      </c>
      <c r="BL56" s="1">
        <f t="shared" si="54"/>
        <v>0</v>
      </c>
      <c r="BM56" s="1">
        <f t="shared" si="44"/>
        <v>0</v>
      </c>
      <c r="BN56" s="1">
        <f t="shared" si="44"/>
        <v>0</v>
      </c>
      <c r="BO56" s="1">
        <f t="shared" si="44"/>
        <v>0</v>
      </c>
      <c r="BP56" s="1">
        <f t="shared" si="44"/>
        <v>0</v>
      </c>
      <c r="BQ56" s="1">
        <f t="shared" si="44"/>
        <v>0</v>
      </c>
    </row>
    <row r="57" spans="1:69" x14ac:dyDescent="0.3">
      <c r="A57" s="1">
        <f t="shared" si="45"/>
        <v>0.5</v>
      </c>
      <c r="B57" s="1">
        <f t="shared" si="35"/>
        <v>1</v>
      </c>
      <c r="C57" s="1">
        <f t="shared" si="35"/>
        <v>1</v>
      </c>
      <c r="D57" s="1">
        <f t="shared" si="35"/>
        <v>1</v>
      </c>
      <c r="E57" s="1">
        <f t="shared" si="35"/>
        <v>1</v>
      </c>
      <c r="F57" s="1">
        <f t="shared" si="35"/>
        <v>1</v>
      </c>
      <c r="H57" s="1">
        <f t="shared" si="46"/>
        <v>0</v>
      </c>
      <c r="I57" s="1">
        <f t="shared" si="36"/>
        <v>0</v>
      </c>
      <c r="J57" s="1">
        <f t="shared" si="36"/>
        <v>0</v>
      </c>
      <c r="K57" s="1">
        <f t="shared" si="36"/>
        <v>0</v>
      </c>
      <c r="L57" s="1">
        <f t="shared" si="36"/>
        <v>0</v>
      </c>
      <c r="M57" s="1">
        <f t="shared" si="36"/>
        <v>0.5</v>
      </c>
      <c r="O57" s="1">
        <f t="shared" si="47"/>
        <v>1</v>
      </c>
      <c r="P57" s="1">
        <f t="shared" si="37"/>
        <v>1</v>
      </c>
      <c r="Q57" s="1">
        <f t="shared" si="37"/>
        <v>1</v>
      </c>
      <c r="R57" s="1">
        <f t="shared" si="37"/>
        <v>1</v>
      </c>
      <c r="S57" s="1">
        <f t="shared" si="37"/>
        <v>1</v>
      </c>
      <c r="T57" s="1">
        <f t="shared" si="37"/>
        <v>1</v>
      </c>
      <c r="V57" s="1">
        <f t="shared" si="48"/>
        <v>0.5</v>
      </c>
      <c r="W57" s="1">
        <f t="shared" si="38"/>
        <v>1</v>
      </c>
      <c r="X57" s="1">
        <f t="shared" si="38"/>
        <v>1</v>
      </c>
      <c r="Y57" s="1">
        <f t="shared" si="38"/>
        <v>1</v>
      </c>
      <c r="Z57" s="1">
        <f t="shared" si="38"/>
        <v>1</v>
      </c>
      <c r="AA57" s="1">
        <f t="shared" si="38"/>
        <v>1</v>
      </c>
      <c r="AC57" s="1">
        <f t="shared" si="49"/>
        <v>0</v>
      </c>
      <c r="AD57" s="1">
        <f t="shared" si="39"/>
        <v>0</v>
      </c>
      <c r="AE57" s="1">
        <f t="shared" si="39"/>
        <v>0.5</v>
      </c>
      <c r="AF57" s="1">
        <f t="shared" si="39"/>
        <v>0.5</v>
      </c>
      <c r="AG57" s="1">
        <f t="shared" si="39"/>
        <v>0</v>
      </c>
      <c r="AH57" s="1">
        <f t="shared" si="39"/>
        <v>1</v>
      </c>
      <c r="AJ57" s="1">
        <f t="shared" si="50"/>
        <v>0</v>
      </c>
      <c r="AK57" s="1">
        <f t="shared" si="40"/>
        <v>0</v>
      </c>
      <c r="AL57" s="1">
        <f t="shared" si="40"/>
        <v>0</v>
      </c>
      <c r="AM57" s="1">
        <f t="shared" si="40"/>
        <v>0</v>
      </c>
      <c r="AN57" s="1">
        <f t="shared" si="40"/>
        <v>0</v>
      </c>
      <c r="AO57" s="1">
        <f t="shared" si="40"/>
        <v>0.5</v>
      </c>
      <c r="AQ57" s="1">
        <f t="shared" si="51"/>
        <v>0</v>
      </c>
      <c r="AR57" s="1">
        <f t="shared" si="41"/>
        <v>0.5</v>
      </c>
      <c r="AS57" s="1">
        <f t="shared" si="41"/>
        <v>1</v>
      </c>
      <c r="AT57" s="1">
        <f t="shared" si="41"/>
        <v>1</v>
      </c>
      <c r="AU57" s="1">
        <f t="shared" si="41"/>
        <v>0.5</v>
      </c>
      <c r="AV57" s="1">
        <f t="shared" si="41"/>
        <v>1</v>
      </c>
      <c r="AX57" s="1">
        <f t="shared" si="52"/>
        <v>0</v>
      </c>
      <c r="AY57" s="1">
        <f t="shared" si="42"/>
        <v>0</v>
      </c>
      <c r="AZ57" s="1">
        <f t="shared" si="42"/>
        <v>0</v>
      </c>
      <c r="BA57" s="1">
        <f t="shared" si="42"/>
        <v>0</v>
      </c>
      <c r="BB57" s="1">
        <f t="shared" si="42"/>
        <v>0</v>
      </c>
      <c r="BC57" s="1">
        <f t="shared" si="42"/>
        <v>0</v>
      </c>
      <c r="BE57" s="1">
        <f t="shared" si="53"/>
        <v>0</v>
      </c>
      <c r="BF57" s="1">
        <f t="shared" si="43"/>
        <v>0.5</v>
      </c>
      <c r="BG57" s="1">
        <f t="shared" si="43"/>
        <v>1</v>
      </c>
      <c r="BH57" s="1">
        <f t="shared" si="43"/>
        <v>1</v>
      </c>
      <c r="BI57" s="1">
        <f t="shared" si="43"/>
        <v>0.5</v>
      </c>
      <c r="BJ57" s="1">
        <f t="shared" si="43"/>
        <v>1</v>
      </c>
      <c r="BL57" s="1">
        <f t="shared" si="54"/>
        <v>0</v>
      </c>
      <c r="BM57" s="1">
        <f t="shared" si="44"/>
        <v>0</v>
      </c>
      <c r="BN57" s="1">
        <f t="shared" si="44"/>
        <v>0.5</v>
      </c>
      <c r="BO57" s="1">
        <f t="shared" si="44"/>
        <v>0.5</v>
      </c>
      <c r="BP57" s="1">
        <f t="shared" si="44"/>
        <v>0</v>
      </c>
      <c r="BQ57" s="1">
        <f t="shared" si="44"/>
        <v>1</v>
      </c>
    </row>
    <row r="58" spans="1:69" x14ac:dyDescent="0.3">
      <c r="A58" s="1">
        <f t="shared" si="45"/>
        <v>0</v>
      </c>
      <c r="B58" s="1">
        <f t="shared" si="35"/>
        <v>0.5</v>
      </c>
      <c r="C58" s="1">
        <f t="shared" si="35"/>
        <v>1</v>
      </c>
      <c r="D58" s="1">
        <f t="shared" si="35"/>
        <v>0</v>
      </c>
      <c r="E58" s="1">
        <f t="shared" si="35"/>
        <v>0</v>
      </c>
      <c r="F58" s="1">
        <f t="shared" si="35"/>
        <v>1</v>
      </c>
      <c r="H58" s="1">
        <f t="shared" si="46"/>
        <v>0</v>
      </c>
      <c r="I58" s="1">
        <f t="shared" si="36"/>
        <v>0</v>
      </c>
      <c r="J58" s="1">
        <f t="shared" si="36"/>
        <v>0.5</v>
      </c>
      <c r="K58" s="1">
        <f t="shared" si="36"/>
        <v>0</v>
      </c>
      <c r="L58" s="1">
        <f t="shared" si="36"/>
        <v>0</v>
      </c>
      <c r="M58" s="1">
        <f t="shared" si="36"/>
        <v>1</v>
      </c>
      <c r="O58" s="1">
        <f t="shared" si="47"/>
        <v>0</v>
      </c>
      <c r="P58" s="1">
        <f t="shared" si="37"/>
        <v>1</v>
      </c>
      <c r="Q58" s="1">
        <f t="shared" si="37"/>
        <v>1</v>
      </c>
      <c r="R58" s="1">
        <f t="shared" si="37"/>
        <v>1</v>
      </c>
      <c r="S58" s="1">
        <f t="shared" si="37"/>
        <v>1</v>
      </c>
      <c r="T58" s="1">
        <f t="shared" si="37"/>
        <v>1</v>
      </c>
      <c r="V58" s="1">
        <f t="shared" si="48"/>
        <v>0</v>
      </c>
      <c r="W58" s="1">
        <f t="shared" si="38"/>
        <v>0.5</v>
      </c>
      <c r="X58" s="1">
        <f t="shared" si="38"/>
        <v>1</v>
      </c>
      <c r="Y58" s="1">
        <f t="shared" si="38"/>
        <v>0</v>
      </c>
      <c r="Z58" s="1">
        <f t="shared" si="38"/>
        <v>0</v>
      </c>
      <c r="AA58" s="1">
        <f t="shared" si="38"/>
        <v>1</v>
      </c>
      <c r="AC58" s="1">
        <f t="shared" si="49"/>
        <v>0</v>
      </c>
      <c r="AD58" s="1">
        <f t="shared" si="39"/>
        <v>0</v>
      </c>
      <c r="AE58" s="1">
        <f t="shared" si="39"/>
        <v>1</v>
      </c>
      <c r="AF58" s="1">
        <f t="shared" si="39"/>
        <v>0</v>
      </c>
      <c r="AG58" s="1">
        <f t="shared" si="39"/>
        <v>0</v>
      </c>
      <c r="AH58" s="1">
        <f t="shared" si="39"/>
        <v>1</v>
      </c>
      <c r="AJ58" s="1">
        <f t="shared" si="50"/>
        <v>0</v>
      </c>
      <c r="AK58" s="1">
        <f t="shared" si="40"/>
        <v>0</v>
      </c>
      <c r="AL58" s="1">
        <f t="shared" si="40"/>
        <v>0.5</v>
      </c>
      <c r="AM58" s="1">
        <f t="shared" si="40"/>
        <v>0</v>
      </c>
      <c r="AN58" s="1">
        <f t="shared" si="40"/>
        <v>0</v>
      </c>
      <c r="AO58" s="1">
        <f t="shared" si="40"/>
        <v>1</v>
      </c>
      <c r="AQ58" s="1">
        <f t="shared" si="51"/>
        <v>0</v>
      </c>
      <c r="AR58" s="1">
        <f t="shared" si="41"/>
        <v>0</v>
      </c>
      <c r="AS58" s="1">
        <f t="shared" si="41"/>
        <v>1</v>
      </c>
      <c r="AT58" s="1">
        <f t="shared" si="41"/>
        <v>0</v>
      </c>
      <c r="AU58" s="1">
        <f t="shared" si="41"/>
        <v>0</v>
      </c>
      <c r="AV58" s="1">
        <f t="shared" si="41"/>
        <v>1</v>
      </c>
      <c r="AX58" s="1">
        <f t="shared" si="52"/>
        <v>0</v>
      </c>
      <c r="AY58" s="1">
        <f t="shared" si="42"/>
        <v>0</v>
      </c>
      <c r="AZ58" s="1">
        <f t="shared" si="42"/>
        <v>0</v>
      </c>
      <c r="BA58" s="1">
        <f t="shared" si="42"/>
        <v>0</v>
      </c>
      <c r="BB58" s="1">
        <f t="shared" si="42"/>
        <v>0</v>
      </c>
      <c r="BC58" s="1">
        <f t="shared" si="42"/>
        <v>0.5</v>
      </c>
      <c r="BE58" s="1">
        <f t="shared" si="53"/>
        <v>0</v>
      </c>
      <c r="BF58" s="1">
        <f t="shared" si="43"/>
        <v>0</v>
      </c>
      <c r="BG58" s="1">
        <f t="shared" si="43"/>
        <v>1</v>
      </c>
      <c r="BH58" s="1">
        <f t="shared" si="43"/>
        <v>0</v>
      </c>
      <c r="BI58" s="1">
        <f t="shared" si="43"/>
        <v>0</v>
      </c>
      <c r="BJ58" s="1">
        <f t="shared" si="43"/>
        <v>1</v>
      </c>
      <c r="BL58" s="1">
        <f t="shared" si="54"/>
        <v>0</v>
      </c>
      <c r="BM58" s="1">
        <f t="shared" si="44"/>
        <v>0</v>
      </c>
      <c r="BN58" s="1">
        <f t="shared" si="44"/>
        <v>1</v>
      </c>
      <c r="BO58" s="1">
        <f t="shared" si="44"/>
        <v>0</v>
      </c>
      <c r="BP58" s="1">
        <f t="shared" si="44"/>
        <v>0</v>
      </c>
      <c r="BQ58" s="1">
        <f t="shared" si="44"/>
        <v>1</v>
      </c>
    </row>
    <row r="60" spans="1:69" x14ac:dyDescent="0.3">
      <c r="C60" s="36" t="s">
        <v>71</v>
      </c>
      <c r="D60" s="36"/>
      <c r="I60" s="36" t="s">
        <v>72</v>
      </c>
      <c r="J60" s="36"/>
      <c r="O60" s="36" t="s">
        <v>73</v>
      </c>
      <c r="P60" s="36"/>
      <c r="U60" s="36" t="s">
        <v>74</v>
      </c>
      <c r="V60" s="36"/>
      <c r="AA60" s="36" t="s">
        <v>75</v>
      </c>
      <c r="AB60" s="36"/>
      <c r="AG60" s="36" t="s">
        <v>76</v>
      </c>
      <c r="AH60" s="36"/>
      <c r="AM60" s="36" t="s">
        <v>77</v>
      </c>
      <c r="AN60" s="36"/>
      <c r="AS60" s="36" t="s">
        <v>78</v>
      </c>
      <c r="AT60" s="36"/>
      <c r="AY60" s="36" t="s">
        <v>79</v>
      </c>
      <c r="AZ60" s="36"/>
      <c r="BE60" s="36" t="s">
        <v>80</v>
      </c>
      <c r="BF60" s="36"/>
    </row>
    <row r="61" spans="1:69" x14ac:dyDescent="0.3">
      <c r="A61" s="26" t="s">
        <v>66</v>
      </c>
      <c r="B61" s="1" t="s">
        <v>67</v>
      </c>
      <c r="C61" s="26" t="s">
        <v>68</v>
      </c>
      <c r="D61" s="26" t="s">
        <v>69</v>
      </c>
      <c r="E61" s="26" t="s">
        <v>70</v>
      </c>
      <c r="G61" s="26" t="s">
        <v>66</v>
      </c>
      <c r="H61" s="1" t="s">
        <v>67</v>
      </c>
      <c r="I61" s="26" t="s">
        <v>68</v>
      </c>
      <c r="J61" s="26" t="s">
        <v>69</v>
      </c>
      <c r="K61" s="26" t="s">
        <v>70</v>
      </c>
      <c r="M61" s="26" t="s">
        <v>66</v>
      </c>
      <c r="N61" s="1" t="s">
        <v>67</v>
      </c>
      <c r="O61" s="26" t="s">
        <v>68</v>
      </c>
      <c r="P61" s="26" t="s">
        <v>69</v>
      </c>
      <c r="Q61" s="26" t="s">
        <v>70</v>
      </c>
      <c r="S61" s="26" t="s">
        <v>66</v>
      </c>
      <c r="T61" s="1" t="s">
        <v>67</v>
      </c>
      <c r="U61" s="26" t="s">
        <v>68</v>
      </c>
      <c r="V61" s="26" t="s">
        <v>69</v>
      </c>
      <c r="W61" s="26" t="s">
        <v>70</v>
      </c>
      <c r="Y61" s="26" t="s">
        <v>66</v>
      </c>
      <c r="Z61" s="1" t="s">
        <v>67</v>
      </c>
      <c r="AA61" s="26" t="s">
        <v>68</v>
      </c>
      <c r="AB61" s="26" t="s">
        <v>69</v>
      </c>
      <c r="AC61" s="26" t="s">
        <v>70</v>
      </c>
      <c r="AE61" s="26" t="s">
        <v>66</v>
      </c>
      <c r="AF61" s="1" t="s">
        <v>67</v>
      </c>
      <c r="AG61" s="26" t="s">
        <v>68</v>
      </c>
      <c r="AH61" s="26" t="s">
        <v>69</v>
      </c>
      <c r="AI61" s="26" t="s">
        <v>70</v>
      </c>
      <c r="AK61" s="26" t="s">
        <v>66</v>
      </c>
      <c r="AL61" s="1" t="s">
        <v>67</v>
      </c>
      <c r="AM61" s="26" t="s">
        <v>68</v>
      </c>
      <c r="AN61" s="26" t="s">
        <v>69</v>
      </c>
      <c r="AO61" s="26" t="s">
        <v>70</v>
      </c>
      <c r="AQ61" s="26" t="s">
        <v>66</v>
      </c>
      <c r="AR61" s="1" t="s">
        <v>67</v>
      </c>
      <c r="AS61" s="26" t="s">
        <v>68</v>
      </c>
      <c r="AT61" s="26" t="s">
        <v>69</v>
      </c>
      <c r="AU61" s="26" t="s">
        <v>70</v>
      </c>
      <c r="AW61" s="26" t="s">
        <v>66</v>
      </c>
      <c r="AX61" s="1" t="s">
        <v>67</v>
      </c>
      <c r="AY61" s="26" t="s">
        <v>68</v>
      </c>
      <c r="AZ61" s="26" t="s">
        <v>69</v>
      </c>
      <c r="BA61" s="26" t="s">
        <v>70</v>
      </c>
      <c r="BC61" s="26" t="s">
        <v>66</v>
      </c>
      <c r="BD61" s="1" t="s">
        <v>67</v>
      </c>
      <c r="BE61" s="26" t="s">
        <v>68</v>
      </c>
      <c r="BF61" s="26" t="s">
        <v>69</v>
      </c>
      <c r="BG61" s="26" t="s">
        <v>70</v>
      </c>
    </row>
    <row r="62" spans="1:69" x14ac:dyDescent="0.3">
      <c r="A62" s="1">
        <f>IF($C$6&gt;D6,0,IF($C$6=D6,0.5,IF($C$6&lt;D6,1)))</f>
        <v>1</v>
      </c>
      <c r="B62" s="1">
        <f t="shared" ref="B62:E71" si="55">IF($C$6&gt;E6,0,IF($C$6=E6,0.5,IF($C$6&lt;E6,1)))</f>
        <v>1</v>
      </c>
      <c r="C62" s="1">
        <f t="shared" si="55"/>
        <v>1</v>
      </c>
      <c r="D62" s="1">
        <f t="shared" si="55"/>
        <v>1</v>
      </c>
      <c r="E62" s="1">
        <f t="shared" si="55"/>
        <v>1</v>
      </c>
      <c r="G62" s="1">
        <f>IF($C$7&gt;D6,0,IF($C$7=D6,0.5,IF($C$7&lt;D6,1)))</f>
        <v>1</v>
      </c>
      <c r="H62" s="1">
        <f t="shared" ref="H62:K71" si="56">IF($C$7&gt;E6,0,IF($C$7=E6,0.5,IF($C$7&lt;E6,1)))</f>
        <v>1</v>
      </c>
      <c r="I62" s="1">
        <f t="shared" si="56"/>
        <v>1</v>
      </c>
      <c r="J62" s="1">
        <f t="shared" si="56"/>
        <v>1</v>
      </c>
      <c r="K62" s="1">
        <f t="shared" si="56"/>
        <v>1</v>
      </c>
      <c r="M62" s="1">
        <f>IF($C$8&gt;D6,0,IF($C$8=D6,0.5,IF($C$8&lt;D6,1)))</f>
        <v>1</v>
      </c>
      <c r="N62" s="1">
        <f t="shared" ref="N62:Q71" si="57">IF($C$8&gt;E6,0,IF($C$8=E6,0.5,IF($C$8&lt;E6,1)))</f>
        <v>1</v>
      </c>
      <c r="O62" s="1">
        <f t="shared" si="57"/>
        <v>1</v>
      </c>
      <c r="P62" s="1">
        <f t="shared" si="57"/>
        <v>1</v>
      </c>
      <c r="Q62" s="1">
        <f t="shared" si="57"/>
        <v>1</v>
      </c>
      <c r="S62" s="1">
        <f>IF($C$9&gt;D6,0,IF($C$9=D6,0.5,IF($C$9&lt;D6,1)))</f>
        <v>0</v>
      </c>
      <c r="T62" s="1">
        <f t="shared" ref="T62:W71" si="58">IF($C$9&gt;E6,0,IF($C$9=E6,0.5,IF($C$9&lt;E6,1)))</f>
        <v>0</v>
      </c>
      <c r="U62" s="1">
        <f t="shared" si="58"/>
        <v>0</v>
      </c>
      <c r="V62" s="1">
        <f t="shared" si="58"/>
        <v>1</v>
      </c>
      <c r="W62" s="1">
        <f t="shared" si="58"/>
        <v>0</v>
      </c>
      <c r="Y62" s="1">
        <f>IF($C$10&gt;D6,0,IF($C$10=D6,0.5,IF($C$10&lt;D6,1)))</f>
        <v>0</v>
      </c>
      <c r="Z62" s="1">
        <f t="shared" ref="Z62:AC71" si="59">IF($C$10&gt;E6,0,IF($C$10=E6,0.5,IF($C$10&lt;E6,1)))</f>
        <v>0</v>
      </c>
      <c r="AA62" s="1">
        <f t="shared" si="59"/>
        <v>0</v>
      </c>
      <c r="AB62" s="1">
        <f t="shared" si="59"/>
        <v>1</v>
      </c>
      <c r="AC62" s="1">
        <f t="shared" si="59"/>
        <v>0.5</v>
      </c>
      <c r="AE62" s="1">
        <f>IF($C$11&gt;D6,0,IF($C$11=D6,0.5,IF($C$11&lt;D6,1)))</f>
        <v>0.5</v>
      </c>
      <c r="AF62" s="1">
        <f t="shared" ref="AF62:AI71" si="60">IF($C$11&gt;E6,0,IF($C$11=E6,0.5,IF($C$11&lt;E6,1)))</f>
        <v>0.5</v>
      </c>
      <c r="AG62" s="1">
        <f t="shared" si="60"/>
        <v>0.5</v>
      </c>
      <c r="AH62" s="1">
        <f t="shared" si="60"/>
        <v>1</v>
      </c>
      <c r="AI62" s="1">
        <f t="shared" si="60"/>
        <v>1</v>
      </c>
      <c r="AK62" s="1">
        <f>IF($C$12&gt;D6,0,IF($C$12=D6,0.5,IF($C$12&lt;D6,1)))</f>
        <v>0</v>
      </c>
      <c r="AL62" s="1">
        <f t="shared" ref="AL62:AO71" si="61">IF($C$12&gt;E6,0,IF($C$12=E6,0.5,IF($C$12&lt;E6,1)))</f>
        <v>0</v>
      </c>
      <c r="AM62" s="1">
        <f t="shared" si="61"/>
        <v>0</v>
      </c>
      <c r="AN62" s="1">
        <f t="shared" si="61"/>
        <v>1</v>
      </c>
      <c r="AO62" s="1">
        <f t="shared" si="61"/>
        <v>0.5</v>
      </c>
      <c r="AQ62" s="1">
        <f>IF($C$13&gt;D6,0,IF($C$13=D6,0.5,IF($C$13&lt;D6,1)))</f>
        <v>0.5</v>
      </c>
      <c r="AR62" s="1">
        <f t="shared" ref="AR62:AU71" si="62">IF($C$13&gt;E6,0,IF($C$13=E6,0.5,IF($C$13&lt;E6,1)))</f>
        <v>0.5</v>
      </c>
      <c r="AS62" s="1">
        <f t="shared" si="62"/>
        <v>0.5</v>
      </c>
      <c r="AT62" s="1">
        <f t="shared" si="62"/>
        <v>1</v>
      </c>
      <c r="AU62" s="1">
        <f t="shared" si="62"/>
        <v>1</v>
      </c>
      <c r="AW62" s="1">
        <f>IF($C$14&gt;D6,0,IF($C$14=D6,0.5,IF($C$14&lt;D6,1)))</f>
        <v>1</v>
      </c>
      <c r="AX62" s="1">
        <f t="shared" ref="AX62:BA71" si="63">IF($C$14&gt;E6,0,IF($C$14=E6,0.5,IF($C$14&lt;E6,1)))</f>
        <v>1</v>
      </c>
      <c r="AY62" s="1">
        <f t="shared" si="63"/>
        <v>1</v>
      </c>
      <c r="AZ62" s="1">
        <f t="shared" si="63"/>
        <v>1</v>
      </c>
      <c r="BA62" s="1">
        <f t="shared" si="63"/>
        <v>1</v>
      </c>
      <c r="BC62" s="1">
        <f>IF($C$15&gt;D6,0,IF($C$15=D6,0.5,IF($C$15&lt;D6,1)))</f>
        <v>1</v>
      </c>
      <c r="BD62" s="1">
        <f t="shared" ref="BD62:BG71" si="64">IF($C$15&gt;E6,0,IF($C$15=E6,0.5,IF($C$15&lt;E6,1)))</f>
        <v>1</v>
      </c>
      <c r="BE62" s="1">
        <f t="shared" si="64"/>
        <v>1</v>
      </c>
      <c r="BF62" s="1">
        <f t="shared" si="64"/>
        <v>1</v>
      </c>
      <c r="BG62" s="1">
        <f t="shared" si="64"/>
        <v>1</v>
      </c>
    </row>
    <row r="63" spans="1:69" x14ac:dyDescent="0.3">
      <c r="A63" s="1">
        <f t="shared" ref="A63:A71" si="65">IF($C$6&gt;D7,0,IF($C$6=D7,0.5,IF($C$6&lt;D7,1)))</f>
        <v>1</v>
      </c>
      <c r="B63" s="1">
        <f t="shared" si="55"/>
        <v>1</v>
      </c>
      <c r="C63" s="1">
        <f t="shared" si="55"/>
        <v>1</v>
      </c>
      <c r="D63" s="1">
        <f t="shared" si="55"/>
        <v>1</v>
      </c>
      <c r="E63" s="1">
        <f t="shared" si="55"/>
        <v>1</v>
      </c>
      <c r="G63" s="1">
        <f t="shared" ref="G63:G71" si="66">IF($C$7&gt;D7,0,IF($C$7=D7,0.5,IF($C$7&lt;D7,1)))</f>
        <v>0</v>
      </c>
      <c r="H63" s="1">
        <f t="shared" si="56"/>
        <v>0.5</v>
      </c>
      <c r="I63" s="1">
        <f t="shared" si="56"/>
        <v>1</v>
      </c>
      <c r="J63" s="1">
        <f t="shared" si="56"/>
        <v>0</v>
      </c>
      <c r="K63" s="1">
        <f t="shared" si="56"/>
        <v>1</v>
      </c>
      <c r="M63" s="1">
        <f t="shared" ref="M63:M71" si="67">IF($C$8&gt;D7,0,IF($C$8=D7,0.5,IF($C$8&lt;D7,1)))</f>
        <v>0.5</v>
      </c>
      <c r="N63" s="1">
        <f t="shared" si="57"/>
        <v>1</v>
      </c>
      <c r="O63" s="1">
        <f t="shared" si="57"/>
        <v>1</v>
      </c>
      <c r="P63" s="1">
        <f t="shared" si="57"/>
        <v>0</v>
      </c>
      <c r="Q63" s="1">
        <f t="shared" si="57"/>
        <v>1</v>
      </c>
      <c r="S63" s="1">
        <f t="shared" ref="S63:S71" si="68">IF($C$9&gt;D7,0,IF($C$9=D7,0.5,IF($C$9&lt;D7,1)))</f>
        <v>0</v>
      </c>
      <c r="T63" s="1">
        <f t="shared" si="58"/>
        <v>0</v>
      </c>
      <c r="U63" s="1">
        <f t="shared" si="58"/>
        <v>0</v>
      </c>
      <c r="V63" s="1">
        <f t="shared" si="58"/>
        <v>0</v>
      </c>
      <c r="W63" s="1">
        <f t="shared" si="58"/>
        <v>0</v>
      </c>
      <c r="Y63" s="1">
        <f t="shared" ref="Y63:Y71" si="69">IF($C$10&gt;D7,0,IF($C$10=D7,0.5,IF($C$10&lt;D7,1)))</f>
        <v>0</v>
      </c>
      <c r="Z63" s="1">
        <f t="shared" si="59"/>
        <v>0</v>
      </c>
      <c r="AA63" s="1">
        <f t="shared" si="59"/>
        <v>0.5</v>
      </c>
      <c r="AB63" s="1">
        <f t="shared" si="59"/>
        <v>0</v>
      </c>
      <c r="AC63" s="1">
        <f t="shared" si="59"/>
        <v>0</v>
      </c>
      <c r="AE63" s="1">
        <f t="shared" ref="AE63:AE71" si="70">IF($C$11&gt;D7,0,IF($C$11=D7,0.5,IF($C$11&lt;D7,1)))</f>
        <v>0</v>
      </c>
      <c r="AF63" s="1">
        <f t="shared" si="60"/>
        <v>0</v>
      </c>
      <c r="AG63" s="1">
        <f t="shared" si="60"/>
        <v>1</v>
      </c>
      <c r="AH63" s="1">
        <f t="shared" si="60"/>
        <v>0</v>
      </c>
      <c r="AI63" s="1">
        <f t="shared" si="60"/>
        <v>0.5</v>
      </c>
      <c r="AK63" s="1">
        <f t="shared" ref="AK63:AK71" si="71">IF($C$12&gt;D7,0,IF($C$12=D7,0.5,IF($C$12&lt;D7,1)))</f>
        <v>0</v>
      </c>
      <c r="AL63" s="1">
        <f t="shared" si="61"/>
        <v>0</v>
      </c>
      <c r="AM63" s="1">
        <f t="shared" si="61"/>
        <v>0.5</v>
      </c>
      <c r="AN63" s="1">
        <f t="shared" si="61"/>
        <v>0</v>
      </c>
      <c r="AO63" s="1">
        <f t="shared" si="61"/>
        <v>0</v>
      </c>
      <c r="AQ63" s="1">
        <f t="shared" ref="AQ63:AQ71" si="72">IF($C$13&gt;D7,0,IF($C$13=D7,0.5,IF($C$13&lt;D7,1)))</f>
        <v>0</v>
      </c>
      <c r="AR63" s="1">
        <f t="shared" si="62"/>
        <v>0</v>
      </c>
      <c r="AS63" s="1">
        <f t="shared" si="62"/>
        <v>1</v>
      </c>
      <c r="AT63" s="1">
        <f t="shared" si="62"/>
        <v>0</v>
      </c>
      <c r="AU63" s="1">
        <f t="shared" si="62"/>
        <v>0.5</v>
      </c>
      <c r="AW63" s="1">
        <f t="shared" ref="AW63:AW71" si="73">IF($C$14&gt;D7,0,IF($C$14=D7,0.5,IF($C$14&lt;D7,1)))</f>
        <v>0</v>
      </c>
      <c r="AX63" s="1">
        <f t="shared" si="63"/>
        <v>0.5</v>
      </c>
      <c r="AY63" s="1">
        <f t="shared" si="63"/>
        <v>1</v>
      </c>
      <c r="AZ63" s="1">
        <f t="shared" si="63"/>
        <v>0</v>
      </c>
      <c r="BA63" s="1">
        <f t="shared" si="63"/>
        <v>1</v>
      </c>
      <c r="BC63" s="1">
        <f t="shared" ref="BC63:BC71" si="74">IF($C$15&gt;D7,0,IF($C$15=D7,0.5,IF($C$15&lt;D7,1)))</f>
        <v>1</v>
      </c>
      <c r="BD63" s="1">
        <f t="shared" si="64"/>
        <v>1</v>
      </c>
      <c r="BE63" s="1">
        <f t="shared" si="64"/>
        <v>1</v>
      </c>
      <c r="BF63" s="1">
        <f t="shared" si="64"/>
        <v>1</v>
      </c>
      <c r="BG63" s="1">
        <f t="shared" si="64"/>
        <v>1</v>
      </c>
    </row>
    <row r="64" spans="1:69" x14ac:dyDescent="0.3">
      <c r="A64" s="1">
        <f t="shared" si="65"/>
        <v>1</v>
      </c>
      <c r="B64" s="1">
        <f t="shared" si="55"/>
        <v>1</v>
      </c>
      <c r="C64" s="1">
        <f t="shared" si="55"/>
        <v>1</v>
      </c>
      <c r="D64" s="1">
        <f t="shared" si="55"/>
        <v>1</v>
      </c>
      <c r="E64" s="1">
        <f t="shared" si="55"/>
        <v>1</v>
      </c>
      <c r="G64" s="1">
        <f t="shared" si="66"/>
        <v>0</v>
      </c>
      <c r="H64" s="1">
        <f t="shared" si="56"/>
        <v>0.5</v>
      </c>
      <c r="I64" s="1">
        <f t="shared" si="56"/>
        <v>0</v>
      </c>
      <c r="J64" s="1">
        <f t="shared" si="56"/>
        <v>0</v>
      </c>
      <c r="K64" s="1">
        <f t="shared" si="56"/>
        <v>1</v>
      </c>
      <c r="M64" s="1">
        <f t="shared" si="67"/>
        <v>0.5</v>
      </c>
      <c r="N64" s="1">
        <f t="shared" si="57"/>
        <v>1</v>
      </c>
      <c r="O64" s="1">
        <f t="shared" si="57"/>
        <v>0.5</v>
      </c>
      <c r="P64" s="1">
        <f t="shared" si="57"/>
        <v>0.5</v>
      </c>
      <c r="Q64" s="1">
        <f t="shared" si="57"/>
        <v>1</v>
      </c>
      <c r="S64" s="1">
        <f t="shared" si="68"/>
        <v>0</v>
      </c>
      <c r="T64" s="1">
        <f t="shared" si="58"/>
        <v>0</v>
      </c>
      <c r="U64" s="1">
        <f t="shared" si="58"/>
        <v>0</v>
      </c>
      <c r="V64" s="1">
        <f t="shared" si="58"/>
        <v>0</v>
      </c>
      <c r="W64" s="1">
        <f t="shared" si="58"/>
        <v>0</v>
      </c>
      <c r="Y64" s="1">
        <f t="shared" si="69"/>
        <v>0</v>
      </c>
      <c r="Z64" s="1">
        <f t="shared" si="59"/>
        <v>0</v>
      </c>
      <c r="AA64" s="1">
        <f t="shared" si="59"/>
        <v>0</v>
      </c>
      <c r="AB64" s="1">
        <f t="shared" si="59"/>
        <v>0</v>
      </c>
      <c r="AC64" s="1">
        <f t="shared" si="59"/>
        <v>1</v>
      </c>
      <c r="AE64" s="1">
        <f t="shared" si="70"/>
        <v>0</v>
      </c>
      <c r="AF64" s="1">
        <f t="shared" si="60"/>
        <v>0</v>
      </c>
      <c r="AG64" s="1">
        <f t="shared" si="60"/>
        <v>0</v>
      </c>
      <c r="AH64" s="1">
        <f t="shared" si="60"/>
        <v>0</v>
      </c>
      <c r="AI64" s="1">
        <f t="shared" si="60"/>
        <v>1</v>
      </c>
      <c r="AK64" s="1">
        <f t="shared" si="71"/>
        <v>0</v>
      </c>
      <c r="AL64" s="1">
        <f t="shared" si="61"/>
        <v>0</v>
      </c>
      <c r="AM64" s="1">
        <f t="shared" si="61"/>
        <v>0</v>
      </c>
      <c r="AN64" s="1">
        <f t="shared" si="61"/>
        <v>0</v>
      </c>
      <c r="AO64" s="1">
        <f t="shared" si="61"/>
        <v>1</v>
      </c>
      <c r="AQ64" s="1">
        <f t="shared" si="72"/>
        <v>0</v>
      </c>
      <c r="AR64" s="1">
        <f t="shared" si="62"/>
        <v>0</v>
      </c>
      <c r="AS64" s="1">
        <f t="shared" si="62"/>
        <v>0</v>
      </c>
      <c r="AT64" s="1">
        <f t="shared" si="62"/>
        <v>0</v>
      </c>
      <c r="AU64" s="1">
        <f t="shared" si="62"/>
        <v>1</v>
      </c>
      <c r="AW64" s="1">
        <f t="shared" si="73"/>
        <v>0</v>
      </c>
      <c r="AX64" s="1">
        <f t="shared" si="63"/>
        <v>0.5</v>
      </c>
      <c r="AY64" s="1">
        <f t="shared" si="63"/>
        <v>0</v>
      </c>
      <c r="AZ64" s="1">
        <f t="shared" si="63"/>
        <v>0</v>
      </c>
      <c r="BA64" s="1">
        <f t="shared" si="63"/>
        <v>1</v>
      </c>
      <c r="BC64" s="1">
        <f t="shared" si="74"/>
        <v>1</v>
      </c>
      <c r="BD64" s="1">
        <f t="shared" si="64"/>
        <v>1</v>
      </c>
      <c r="BE64" s="1">
        <f t="shared" si="64"/>
        <v>1</v>
      </c>
      <c r="BF64" s="1">
        <f t="shared" si="64"/>
        <v>1</v>
      </c>
      <c r="BG64" s="1">
        <f t="shared" si="64"/>
        <v>1</v>
      </c>
    </row>
    <row r="65" spans="1:59" x14ac:dyDescent="0.3">
      <c r="A65" s="1">
        <f t="shared" si="65"/>
        <v>1</v>
      </c>
      <c r="B65" s="1">
        <f t="shared" si="55"/>
        <v>1</v>
      </c>
      <c r="C65" s="1">
        <f t="shared" si="55"/>
        <v>1</v>
      </c>
      <c r="D65" s="1">
        <f t="shared" si="55"/>
        <v>1</v>
      </c>
      <c r="E65" s="1">
        <f t="shared" si="55"/>
        <v>1</v>
      </c>
      <c r="G65" s="1">
        <f t="shared" si="66"/>
        <v>1</v>
      </c>
      <c r="H65" s="1">
        <f t="shared" si="56"/>
        <v>1</v>
      </c>
      <c r="I65" s="1">
        <f t="shared" si="56"/>
        <v>0.5</v>
      </c>
      <c r="J65" s="1">
        <f t="shared" si="56"/>
        <v>0</v>
      </c>
      <c r="K65" s="1">
        <f t="shared" si="56"/>
        <v>0.5</v>
      </c>
      <c r="M65" s="1">
        <f t="shared" si="67"/>
        <v>1</v>
      </c>
      <c r="N65" s="1">
        <f t="shared" si="57"/>
        <v>1</v>
      </c>
      <c r="O65" s="1">
        <f t="shared" si="57"/>
        <v>1</v>
      </c>
      <c r="P65" s="1">
        <f t="shared" si="57"/>
        <v>0.5</v>
      </c>
      <c r="Q65" s="1">
        <f t="shared" si="57"/>
        <v>1</v>
      </c>
      <c r="S65" s="1">
        <f t="shared" si="68"/>
        <v>0</v>
      </c>
      <c r="T65" s="1">
        <f t="shared" si="58"/>
        <v>0.5</v>
      </c>
      <c r="U65" s="1">
        <f t="shared" si="58"/>
        <v>0</v>
      </c>
      <c r="V65" s="1">
        <f t="shared" si="58"/>
        <v>0</v>
      </c>
      <c r="W65" s="1">
        <f t="shared" si="58"/>
        <v>0</v>
      </c>
      <c r="Y65" s="1">
        <f t="shared" si="69"/>
        <v>0.5</v>
      </c>
      <c r="Z65" s="1">
        <f t="shared" si="59"/>
        <v>1</v>
      </c>
      <c r="AA65" s="1">
        <f t="shared" si="59"/>
        <v>0</v>
      </c>
      <c r="AB65" s="1">
        <f t="shared" si="59"/>
        <v>0</v>
      </c>
      <c r="AC65" s="1">
        <f t="shared" si="59"/>
        <v>0</v>
      </c>
      <c r="AE65" s="1">
        <f t="shared" si="70"/>
        <v>1</v>
      </c>
      <c r="AF65" s="1">
        <f t="shared" si="60"/>
        <v>1</v>
      </c>
      <c r="AG65" s="1">
        <f t="shared" si="60"/>
        <v>0</v>
      </c>
      <c r="AH65" s="1">
        <f t="shared" si="60"/>
        <v>0</v>
      </c>
      <c r="AI65" s="1">
        <f t="shared" si="60"/>
        <v>0</v>
      </c>
      <c r="AK65" s="1">
        <f t="shared" si="71"/>
        <v>0.5</v>
      </c>
      <c r="AL65" s="1">
        <f t="shared" si="61"/>
        <v>1</v>
      </c>
      <c r="AM65" s="1">
        <f t="shared" si="61"/>
        <v>0</v>
      </c>
      <c r="AN65" s="1">
        <f t="shared" si="61"/>
        <v>0</v>
      </c>
      <c r="AO65" s="1">
        <f t="shared" si="61"/>
        <v>0</v>
      </c>
      <c r="AQ65" s="1">
        <f t="shared" si="72"/>
        <v>1</v>
      </c>
      <c r="AR65" s="1">
        <f t="shared" si="62"/>
        <v>1</v>
      </c>
      <c r="AS65" s="1">
        <f t="shared" si="62"/>
        <v>0</v>
      </c>
      <c r="AT65" s="1">
        <f t="shared" si="62"/>
        <v>0</v>
      </c>
      <c r="AU65" s="1">
        <f t="shared" si="62"/>
        <v>0</v>
      </c>
      <c r="AW65" s="1">
        <f t="shared" si="73"/>
        <v>1</v>
      </c>
      <c r="AX65" s="1">
        <f t="shared" si="63"/>
        <v>1</v>
      </c>
      <c r="AY65" s="1">
        <f t="shared" si="63"/>
        <v>0.5</v>
      </c>
      <c r="AZ65" s="1">
        <f t="shared" si="63"/>
        <v>0</v>
      </c>
      <c r="BA65" s="1">
        <f t="shared" si="63"/>
        <v>0.5</v>
      </c>
      <c r="BC65" s="1">
        <f t="shared" si="74"/>
        <v>1</v>
      </c>
      <c r="BD65" s="1">
        <f t="shared" si="64"/>
        <v>1</v>
      </c>
      <c r="BE65" s="1">
        <f t="shared" si="64"/>
        <v>1</v>
      </c>
      <c r="BF65" s="1">
        <f t="shared" si="64"/>
        <v>1</v>
      </c>
      <c r="BG65" s="1">
        <f t="shared" si="64"/>
        <v>1</v>
      </c>
    </row>
    <row r="66" spans="1:59" x14ac:dyDescent="0.3">
      <c r="A66" s="1">
        <f t="shared" si="65"/>
        <v>0</v>
      </c>
      <c r="B66" s="1">
        <f t="shared" si="55"/>
        <v>1</v>
      </c>
      <c r="C66" s="1">
        <f t="shared" si="55"/>
        <v>1</v>
      </c>
      <c r="D66" s="1">
        <f t="shared" si="55"/>
        <v>1</v>
      </c>
      <c r="E66" s="1">
        <f t="shared" si="55"/>
        <v>1</v>
      </c>
      <c r="G66" s="1">
        <f t="shared" si="66"/>
        <v>0</v>
      </c>
      <c r="H66" s="1">
        <f t="shared" si="56"/>
        <v>0</v>
      </c>
      <c r="I66" s="1">
        <f t="shared" si="56"/>
        <v>1</v>
      </c>
      <c r="J66" s="1">
        <f t="shared" si="56"/>
        <v>1</v>
      </c>
      <c r="K66" s="1">
        <f t="shared" si="56"/>
        <v>1</v>
      </c>
      <c r="M66" s="1">
        <f t="shared" si="67"/>
        <v>0</v>
      </c>
      <c r="N66" s="1">
        <f t="shared" si="57"/>
        <v>0.5</v>
      </c>
      <c r="O66" s="1">
        <f t="shared" si="57"/>
        <v>1</v>
      </c>
      <c r="P66" s="1">
        <f t="shared" si="57"/>
        <v>1</v>
      </c>
      <c r="Q66" s="1">
        <f t="shared" si="57"/>
        <v>1</v>
      </c>
      <c r="S66" s="1">
        <f t="shared" si="68"/>
        <v>0</v>
      </c>
      <c r="T66" s="1">
        <f t="shared" si="58"/>
        <v>0</v>
      </c>
      <c r="U66" s="1">
        <f t="shared" si="58"/>
        <v>0</v>
      </c>
      <c r="V66" s="1">
        <f t="shared" si="58"/>
        <v>0</v>
      </c>
      <c r="W66" s="1">
        <f t="shared" si="58"/>
        <v>0.5</v>
      </c>
      <c r="Y66" s="1">
        <f t="shared" si="69"/>
        <v>0</v>
      </c>
      <c r="Z66" s="1">
        <f t="shared" si="59"/>
        <v>0</v>
      </c>
      <c r="AA66" s="1">
        <f t="shared" si="59"/>
        <v>0</v>
      </c>
      <c r="AB66" s="1">
        <f t="shared" si="59"/>
        <v>0</v>
      </c>
      <c r="AC66" s="1">
        <f t="shared" si="59"/>
        <v>1</v>
      </c>
      <c r="AE66" s="1">
        <f t="shared" si="70"/>
        <v>0</v>
      </c>
      <c r="AF66" s="1">
        <f t="shared" si="60"/>
        <v>0</v>
      </c>
      <c r="AG66" s="1">
        <f t="shared" si="60"/>
        <v>0.5</v>
      </c>
      <c r="AH66" s="1">
        <f t="shared" si="60"/>
        <v>0.5</v>
      </c>
      <c r="AI66" s="1">
        <f t="shared" si="60"/>
        <v>1</v>
      </c>
      <c r="AK66" s="1">
        <f t="shared" si="71"/>
        <v>0</v>
      </c>
      <c r="AL66" s="1">
        <f t="shared" si="61"/>
        <v>0</v>
      </c>
      <c r="AM66" s="1">
        <f t="shared" si="61"/>
        <v>0</v>
      </c>
      <c r="AN66" s="1">
        <f t="shared" si="61"/>
        <v>0</v>
      </c>
      <c r="AO66" s="1">
        <f t="shared" si="61"/>
        <v>1</v>
      </c>
      <c r="AQ66" s="1">
        <f t="shared" si="72"/>
        <v>0</v>
      </c>
      <c r="AR66" s="1">
        <f t="shared" si="62"/>
        <v>0</v>
      </c>
      <c r="AS66" s="1">
        <f t="shared" si="62"/>
        <v>0.5</v>
      </c>
      <c r="AT66" s="1">
        <f t="shared" si="62"/>
        <v>0.5</v>
      </c>
      <c r="AU66" s="1">
        <f t="shared" si="62"/>
        <v>1</v>
      </c>
      <c r="AW66" s="1">
        <f t="shared" si="73"/>
        <v>0</v>
      </c>
      <c r="AX66" s="1">
        <f t="shared" si="63"/>
        <v>0</v>
      </c>
      <c r="AY66" s="1">
        <f t="shared" si="63"/>
        <v>1</v>
      </c>
      <c r="AZ66" s="1">
        <f t="shared" si="63"/>
        <v>1</v>
      </c>
      <c r="BA66" s="1">
        <f t="shared" si="63"/>
        <v>1</v>
      </c>
      <c r="BC66" s="1">
        <f t="shared" si="74"/>
        <v>0.5</v>
      </c>
      <c r="BD66" s="1">
        <f t="shared" si="64"/>
        <v>1</v>
      </c>
      <c r="BE66" s="1">
        <f t="shared" si="64"/>
        <v>1</v>
      </c>
      <c r="BF66" s="1">
        <f t="shared" si="64"/>
        <v>1</v>
      </c>
      <c r="BG66" s="1">
        <f t="shared" si="64"/>
        <v>1</v>
      </c>
    </row>
    <row r="67" spans="1:59" x14ac:dyDescent="0.3">
      <c r="A67" s="1">
        <f t="shared" si="65"/>
        <v>1</v>
      </c>
      <c r="B67" s="1">
        <f t="shared" si="55"/>
        <v>1</v>
      </c>
      <c r="C67" s="1">
        <f t="shared" si="55"/>
        <v>1</v>
      </c>
      <c r="D67" s="1">
        <f t="shared" si="55"/>
        <v>1</v>
      </c>
      <c r="E67" s="1">
        <f t="shared" si="55"/>
        <v>1</v>
      </c>
      <c r="G67" s="1">
        <f t="shared" si="66"/>
        <v>0</v>
      </c>
      <c r="H67" s="1">
        <f t="shared" si="56"/>
        <v>1</v>
      </c>
      <c r="I67" s="1">
        <f t="shared" si="56"/>
        <v>1</v>
      </c>
      <c r="J67" s="1">
        <f t="shared" si="56"/>
        <v>1</v>
      </c>
      <c r="K67" s="1">
        <f t="shared" si="56"/>
        <v>1</v>
      </c>
      <c r="M67" s="1">
        <f t="shared" si="67"/>
        <v>0.5</v>
      </c>
      <c r="N67" s="1">
        <f t="shared" si="57"/>
        <v>1</v>
      </c>
      <c r="O67" s="1">
        <f t="shared" si="57"/>
        <v>1</v>
      </c>
      <c r="P67" s="1">
        <f t="shared" si="57"/>
        <v>1</v>
      </c>
      <c r="Q67" s="1">
        <f t="shared" si="57"/>
        <v>1</v>
      </c>
      <c r="S67" s="1">
        <f t="shared" si="68"/>
        <v>0</v>
      </c>
      <c r="T67" s="1">
        <f t="shared" si="58"/>
        <v>0</v>
      </c>
      <c r="U67" s="1">
        <f t="shared" si="58"/>
        <v>1</v>
      </c>
      <c r="V67" s="1">
        <f t="shared" si="58"/>
        <v>0</v>
      </c>
      <c r="W67" s="1">
        <f t="shared" si="58"/>
        <v>0.5</v>
      </c>
      <c r="Y67" s="1">
        <f t="shared" si="69"/>
        <v>0</v>
      </c>
      <c r="Z67" s="1">
        <f t="shared" si="59"/>
        <v>0</v>
      </c>
      <c r="AA67" s="1">
        <f t="shared" si="59"/>
        <v>1</v>
      </c>
      <c r="AB67" s="1">
        <f t="shared" si="59"/>
        <v>0</v>
      </c>
      <c r="AC67" s="1">
        <f t="shared" si="59"/>
        <v>1</v>
      </c>
      <c r="AE67" s="1">
        <f t="shared" si="70"/>
        <v>0</v>
      </c>
      <c r="AF67" s="1">
        <f t="shared" si="60"/>
        <v>0.5</v>
      </c>
      <c r="AG67" s="1">
        <f t="shared" si="60"/>
        <v>1</v>
      </c>
      <c r="AH67" s="1">
        <f t="shared" si="60"/>
        <v>0.5</v>
      </c>
      <c r="AI67" s="1">
        <f t="shared" si="60"/>
        <v>1</v>
      </c>
      <c r="AK67" s="1">
        <f t="shared" si="71"/>
        <v>0</v>
      </c>
      <c r="AL67" s="1">
        <f t="shared" si="61"/>
        <v>0</v>
      </c>
      <c r="AM67" s="1">
        <f t="shared" si="61"/>
        <v>1</v>
      </c>
      <c r="AN67" s="1">
        <f t="shared" si="61"/>
        <v>0</v>
      </c>
      <c r="AO67" s="1">
        <f t="shared" si="61"/>
        <v>1</v>
      </c>
      <c r="AQ67" s="1">
        <f t="shared" si="72"/>
        <v>0</v>
      </c>
      <c r="AR67" s="1">
        <f t="shared" si="62"/>
        <v>0.5</v>
      </c>
      <c r="AS67" s="1">
        <f t="shared" si="62"/>
        <v>1</v>
      </c>
      <c r="AT67" s="1">
        <f t="shared" si="62"/>
        <v>0.5</v>
      </c>
      <c r="AU67" s="1">
        <f t="shared" si="62"/>
        <v>1</v>
      </c>
      <c r="AW67" s="1">
        <f t="shared" si="73"/>
        <v>0</v>
      </c>
      <c r="AX67" s="1">
        <f t="shared" si="63"/>
        <v>1</v>
      </c>
      <c r="AY67" s="1">
        <f t="shared" si="63"/>
        <v>1</v>
      </c>
      <c r="AZ67" s="1">
        <f t="shared" si="63"/>
        <v>1</v>
      </c>
      <c r="BA67" s="1">
        <f t="shared" si="63"/>
        <v>1</v>
      </c>
      <c r="BC67" s="1">
        <f t="shared" si="74"/>
        <v>1</v>
      </c>
      <c r="BD67" s="1">
        <f t="shared" si="64"/>
        <v>1</v>
      </c>
      <c r="BE67" s="1">
        <f t="shared" si="64"/>
        <v>1</v>
      </c>
      <c r="BF67" s="1">
        <f t="shared" si="64"/>
        <v>1</v>
      </c>
      <c r="BG67" s="1">
        <f t="shared" si="64"/>
        <v>1</v>
      </c>
    </row>
    <row r="68" spans="1:59" x14ac:dyDescent="0.3">
      <c r="A68" s="1">
        <f t="shared" si="65"/>
        <v>1</v>
      </c>
      <c r="B68" s="1">
        <f t="shared" si="55"/>
        <v>1</v>
      </c>
      <c r="C68" s="1">
        <f t="shared" si="55"/>
        <v>1</v>
      </c>
      <c r="D68" s="1">
        <f t="shared" si="55"/>
        <v>1</v>
      </c>
      <c r="E68" s="1">
        <f t="shared" si="55"/>
        <v>1</v>
      </c>
      <c r="G68" s="1">
        <f t="shared" si="66"/>
        <v>1</v>
      </c>
      <c r="H68" s="1">
        <f t="shared" si="56"/>
        <v>0</v>
      </c>
      <c r="I68" s="1">
        <f t="shared" si="56"/>
        <v>0.5</v>
      </c>
      <c r="J68" s="1">
        <f t="shared" si="56"/>
        <v>1</v>
      </c>
      <c r="K68" s="1">
        <f t="shared" si="56"/>
        <v>1</v>
      </c>
      <c r="M68" s="1">
        <f t="shared" si="67"/>
        <v>1</v>
      </c>
      <c r="N68" s="1">
        <f t="shared" si="57"/>
        <v>0.5</v>
      </c>
      <c r="O68" s="1">
        <f t="shared" si="57"/>
        <v>1</v>
      </c>
      <c r="P68" s="1">
        <f t="shared" si="57"/>
        <v>1</v>
      </c>
      <c r="Q68" s="1">
        <f t="shared" si="57"/>
        <v>1</v>
      </c>
      <c r="S68" s="1">
        <f t="shared" si="68"/>
        <v>0</v>
      </c>
      <c r="T68" s="1">
        <f t="shared" si="58"/>
        <v>0</v>
      </c>
      <c r="U68" s="1">
        <f t="shared" si="58"/>
        <v>0</v>
      </c>
      <c r="V68" s="1">
        <f t="shared" si="58"/>
        <v>0</v>
      </c>
      <c r="W68" s="1">
        <f t="shared" si="58"/>
        <v>0</v>
      </c>
      <c r="Y68" s="1">
        <f t="shared" si="69"/>
        <v>0</v>
      </c>
      <c r="Z68" s="1">
        <f t="shared" si="59"/>
        <v>0</v>
      </c>
      <c r="AA68" s="1">
        <f t="shared" si="59"/>
        <v>0</v>
      </c>
      <c r="AB68" s="1">
        <f t="shared" si="59"/>
        <v>0</v>
      </c>
      <c r="AC68" s="1">
        <f t="shared" si="59"/>
        <v>0</v>
      </c>
      <c r="AE68" s="1">
        <f t="shared" si="70"/>
        <v>0.5</v>
      </c>
      <c r="AF68" s="1">
        <f t="shared" si="60"/>
        <v>0</v>
      </c>
      <c r="AG68" s="1">
        <f t="shared" si="60"/>
        <v>0</v>
      </c>
      <c r="AH68" s="1">
        <f t="shared" si="60"/>
        <v>0.5</v>
      </c>
      <c r="AI68" s="1">
        <f t="shared" si="60"/>
        <v>0.5</v>
      </c>
      <c r="AK68" s="1">
        <f t="shared" si="71"/>
        <v>0</v>
      </c>
      <c r="AL68" s="1">
        <f t="shared" si="61"/>
        <v>0</v>
      </c>
      <c r="AM68" s="1">
        <f t="shared" si="61"/>
        <v>0</v>
      </c>
      <c r="AN68" s="1">
        <f t="shared" si="61"/>
        <v>0</v>
      </c>
      <c r="AO68" s="1">
        <f t="shared" si="61"/>
        <v>0</v>
      </c>
      <c r="AQ68" s="1">
        <f t="shared" si="72"/>
        <v>0.5</v>
      </c>
      <c r="AR68" s="1">
        <f t="shared" si="62"/>
        <v>0</v>
      </c>
      <c r="AS68" s="1">
        <f t="shared" si="62"/>
        <v>0</v>
      </c>
      <c r="AT68" s="1">
        <f t="shared" si="62"/>
        <v>0.5</v>
      </c>
      <c r="AU68" s="1">
        <f t="shared" si="62"/>
        <v>0.5</v>
      </c>
      <c r="AW68" s="1">
        <f t="shared" si="73"/>
        <v>1</v>
      </c>
      <c r="AX68" s="1">
        <f t="shared" si="63"/>
        <v>0</v>
      </c>
      <c r="AY68" s="1">
        <f t="shared" si="63"/>
        <v>0.5</v>
      </c>
      <c r="AZ68" s="1">
        <f t="shared" si="63"/>
        <v>1</v>
      </c>
      <c r="BA68" s="1">
        <f t="shared" si="63"/>
        <v>1</v>
      </c>
      <c r="BC68" s="1">
        <f t="shared" si="74"/>
        <v>1</v>
      </c>
      <c r="BD68" s="1">
        <f t="shared" si="64"/>
        <v>1</v>
      </c>
      <c r="BE68" s="1">
        <f t="shared" si="64"/>
        <v>1</v>
      </c>
      <c r="BF68" s="1">
        <f t="shared" si="64"/>
        <v>1</v>
      </c>
      <c r="BG68" s="1">
        <f t="shared" si="64"/>
        <v>1</v>
      </c>
    </row>
    <row r="69" spans="1:59" x14ac:dyDescent="0.3">
      <c r="A69" s="1">
        <f t="shared" si="65"/>
        <v>1</v>
      </c>
      <c r="B69" s="1">
        <f t="shared" si="55"/>
        <v>1</v>
      </c>
      <c r="C69" s="1">
        <f t="shared" si="55"/>
        <v>1</v>
      </c>
      <c r="D69" s="1">
        <f t="shared" si="55"/>
        <v>0</v>
      </c>
      <c r="E69" s="1">
        <f t="shared" si="55"/>
        <v>1</v>
      </c>
      <c r="G69" s="1">
        <f t="shared" si="66"/>
        <v>0.5</v>
      </c>
      <c r="H69" s="1">
        <f t="shared" si="56"/>
        <v>1</v>
      </c>
      <c r="I69" s="1">
        <f t="shared" si="56"/>
        <v>0</v>
      </c>
      <c r="J69" s="1">
        <f t="shared" si="56"/>
        <v>0</v>
      </c>
      <c r="K69" s="1">
        <f t="shared" si="56"/>
        <v>0</v>
      </c>
      <c r="M69" s="1">
        <f t="shared" si="67"/>
        <v>1</v>
      </c>
      <c r="N69" s="1">
        <f t="shared" si="57"/>
        <v>1</v>
      </c>
      <c r="O69" s="1">
        <f t="shared" si="57"/>
        <v>0.5</v>
      </c>
      <c r="P69" s="1">
        <f t="shared" si="57"/>
        <v>0</v>
      </c>
      <c r="Q69" s="1">
        <f t="shared" si="57"/>
        <v>0</v>
      </c>
      <c r="S69" s="1">
        <f t="shared" si="68"/>
        <v>0</v>
      </c>
      <c r="T69" s="1">
        <f t="shared" si="58"/>
        <v>0</v>
      </c>
      <c r="U69" s="1">
        <f t="shared" si="58"/>
        <v>0</v>
      </c>
      <c r="V69" s="1">
        <f t="shared" si="58"/>
        <v>0</v>
      </c>
      <c r="W69" s="1">
        <f t="shared" si="58"/>
        <v>0</v>
      </c>
      <c r="Y69" s="1">
        <f t="shared" si="69"/>
        <v>0</v>
      </c>
      <c r="Z69" s="1">
        <f t="shared" si="59"/>
        <v>0</v>
      </c>
      <c r="AA69" s="1">
        <f t="shared" si="59"/>
        <v>0</v>
      </c>
      <c r="AB69" s="1">
        <f t="shared" si="59"/>
        <v>0</v>
      </c>
      <c r="AC69" s="1">
        <f t="shared" si="59"/>
        <v>0</v>
      </c>
      <c r="AE69" s="1">
        <f t="shared" si="70"/>
        <v>0</v>
      </c>
      <c r="AF69" s="1">
        <f t="shared" si="60"/>
        <v>0.5</v>
      </c>
      <c r="AG69" s="1">
        <f t="shared" si="60"/>
        <v>0</v>
      </c>
      <c r="AH69" s="1">
        <f t="shared" si="60"/>
        <v>0</v>
      </c>
      <c r="AI69" s="1">
        <f t="shared" si="60"/>
        <v>0</v>
      </c>
      <c r="AK69" s="1">
        <f t="shared" si="71"/>
        <v>0</v>
      </c>
      <c r="AL69" s="1">
        <f t="shared" si="61"/>
        <v>0</v>
      </c>
      <c r="AM69" s="1">
        <f t="shared" si="61"/>
        <v>0</v>
      </c>
      <c r="AN69" s="1">
        <f t="shared" si="61"/>
        <v>0</v>
      </c>
      <c r="AO69" s="1">
        <f t="shared" si="61"/>
        <v>0</v>
      </c>
      <c r="AQ69" s="1">
        <f t="shared" si="72"/>
        <v>0</v>
      </c>
      <c r="AR69" s="1">
        <f t="shared" si="62"/>
        <v>0.5</v>
      </c>
      <c r="AS69" s="1">
        <f t="shared" si="62"/>
        <v>0</v>
      </c>
      <c r="AT69" s="1">
        <f t="shared" si="62"/>
        <v>0</v>
      </c>
      <c r="AU69" s="1">
        <f t="shared" si="62"/>
        <v>0</v>
      </c>
      <c r="AW69" s="1">
        <f t="shared" si="73"/>
        <v>0.5</v>
      </c>
      <c r="AX69" s="1">
        <f t="shared" si="63"/>
        <v>1</v>
      </c>
      <c r="AY69" s="1">
        <f t="shared" si="63"/>
        <v>0</v>
      </c>
      <c r="AZ69" s="1">
        <f t="shared" si="63"/>
        <v>0</v>
      </c>
      <c r="BA69" s="1">
        <f t="shared" si="63"/>
        <v>0</v>
      </c>
      <c r="BC69" s="1">
        <f t="shared" si="74"/>
        <v>1</v>
      </c>
      <c r="BD69" s="1">
        <f t="shared" si="64"/>
        <v>1</v>
      </c>
      <c r="BE69" s="1">
        <f t="shared" si="64"/>
        <v>1</v>
      </c>
      <c r="BF69" s="1">
        <f t="shared" si="64"/>
        <v>0.5</v>
      </c>
      <c r="BG69" s="1">
        <f t="shared" si="64"/>
        <v>1</v>
      </c>
    </row>
    <row r="70" spans="1:59" x14ac:dyDescent="0.3">
      <c r="A70" s="1">
        <f t="shared" si="65"/>
        <v>1</v>
      </c>
      <c r="B70" s="1">
        <f t="shared" si="55"/>
        <v>1</v>
      </c>
      <c r="C70" s="1">
        <f t="shared" si="55"/>
        <v>1</v>
      </c>
      <c r="D70" s="1">
        <f t="shared" si="55"/>
        <v>1</v>
      </c>
      <c r="E70" s="1">
        <f t="shared" si="55"/>
        <v>1</v>
      </c>
      <c r="G70" s="1">
        <f t="shared" si="66"/>
        <v>1</v>
      </c>
      <c r="H70" s="1">
        <f t="shared" si="56"/>
        <v>1</v>
      </c>
      <c r="I70" s="1">
        <f t="shared" si="56"/>
        <v>1</v>
      </c>
      <c r="J70" s="1">
        <f t="shared" si="56"/>
        <v>1</v>
      </c>
      <c r="K70" s="1">
        <f t="shared" si="56"/>
        <v>1</v>
      </c>
      <c r="M70" s="1">
        <f t="shared" si="67"/>
        <v>1</v>
      </c>
      <c r="N70" s="1">
        <f t="shared" si="57"/>
        <v>1</v>
      </c>
      <c r="O70" s="1">
        <f t="shared" si="57"/>
        <v>1</v>
      </c>
      <c r="P70" s="1">
        <f t="shared" si="57"/>
        <v>1</v>
      </c>
      <c r="Q70" s="1">
        <f t="shared" si="57"/>
        <v>1</v>
      </c>
      <c r="S70" s="1">
        <f t="shared" si="68"/>
        <v>0</v>
      </c>
      <c r="T70" s="1">
        <f t="shared" si="58"/>
        <v>0</v>
      </c>
      <c r="U70" s="1">
        <f t="shared" si="58"/>
        <v>0</v>
      </c>
      <c r="V70" s="1">
        <f t="shared" si="58"/>
        <v>0</v>
      </c>
      <c r="W70" s="1">
        <f t="shared" si="58"/>
        <v>0</v>
      </c>
      <c r="Y70" s="1">
        <f t="shared" si="69"/>
        <v>0</v>
      </c>
      <c r="Z70" s="1">
        <f t="shared" si="59"/>
        <v>0.5</v>
      </c>
      <c r="AA70" s="1">
        <f t="shared" si="59"/>
        <v>0.5</v>
      </c>
      <c r="AB70" s="1">
        <f t="shared" si="59"/>
        <v>0</v>
      </c>
      <c r="AC70" s="1">
        <f t="shared" si="59"/>
        <v>1</v>
      </c>
      <c r="AE70" s="1">
        <f t="shared" si="70"/>
        <v>0.5</v>
      </c>
      <c r="AF70" s="1">
        <f t="shared" si="60"/>
        <v>1</v>
      </c>
      <c r="AG70" s="1">
        <f t="shared" si="60"/>
        <v>1</v>
      </c>
      <c r="AH70" s="1">
        <f t="shared" si="60"/>
        <v>0.5</v>
      </c>
      <c r="AI70" s="1">
        <f t="shared" si="60"/>
        <v>1</v>
      </c>
      <c r="AK70" s="1">
        <f t="shared" si="71"/>
        <v>0</v>
      </c>
      <c r="AL70" s="1">
        <f t="shared" si="61"/>
        <v>0.5</v>
      </c>
      <c r="AM70" s="1">
        <f t="shared" si="61"/>
        <v>0.5</v>
      </c>
      <c r="AN70" s="1">
        <f t="shared" si="61"/>
        <v>0</v>
      </c>
      <c r="AO70" s="1">
        <f t="shared" si="61"/>
        <v>1</v>
      </c>
      <c r="AQ70" s="1">
        <f t="shared" si="72"/>
        <v>0.5</v>
      </c>
      <c r="AR70" s="1">
        <f t="shared" si="62"/>
        <v>1</v>
      </c>
      <c r="AS70" s="1">
        <f t="shared" si="62"/>
        <v>1</v>
      </c>
      <c r="AT70" s="1">
        <f t="shared" si="62"/>
        <v>0.5</v>
      </c>
      <c r="AU70" s="1">
        <f t="shared" si="62"/>
        <v>1</v>
      </c>
      <c r="AW70" s="1">
        <f t="shared" si="73"/>
        <v>1</v>
      </c>
      <c r="AX70" s="1">
        <f t="shared" si="63"/>
        <v>1</v>
      </c>
      <c r="AY70" s="1">
        <f t="shared" si="63"/>
        <v>1</v>
      </c>
      <c r="AZ70" s="1">
        <f t="shared" si="63"/>
        <v>1</v>
      </c>
      <c r="BA70" s="1">
        <f t="shared" si="63"/>
        <v>1</v>
      </c>
      <c r="BC70" s="1">
        <f t="shared" si="74"/>
        <v>1</v>
      </c>
      <c r="BD70" s="1">
        <f t="shared" si="64"/>
        <v>1</v>
      </c>
      <c r="BE70" s="1">
        <f t="shared" si="64"/>
        <v>1</v>
      </c>
      <c r="BF70" s="1">
        <f t="shared" si="64"/>
        <v>1</v>
      </c>
      <c r="BG70" s="1">
        <f t="shared" si="64"/>
        <v>1</v>
      </c>
    </row>
    <row r="71" spans="1:59" x14ac:dyDescent="0.3">
      <c r="A71" s="1">
        <f t="shared" si="65"/>
        <v>1</v>
      </c>
      <c r="B71" s="1">
        <f t="shared" si="55"/>
        <v>1</v>
      </c>
      <c r="C71" s="1">
        <f t="shared" si="55"/>
        <v>1</v>
      </c>
      <c r="D71" s="1">
        <f t="shared" si="55"/>
        <v>1</v>
      </c>
      <c r="E71" s="1">
        <f t="shared" si="55"/>
        <v>1</v>
      </c>
      <c r="G71" s="1">
        <f t="shared" si="66"/>
        <v>0.5</v>
      </c>
      <c r="H71" s="1">
        <f t="shared" si="56"/>
        <v>1</v>
      </c>
      <c r="I71" s="1">
        <f t="shared" si="56"/>
        <v>0</v>
      </c>
      <c r="J71" s="1">
        <f t="shared" si="56"/>
        <v>0</v>
      </c>
      <c r="K71" s="1">
        <f t="shared" si="56"/>
        <v>1</v>
      </c>
      <c r="M71" s="1">
        <f t="shared" si="67"/>
        <v>1</v>
      </c>
      <c r="N71" s="1">
        <f t="shared" si="57"/>
        <v>1</v>
      </c>
      <c r="O71" s="1">
        <f t="shared" si="57"/>
        <v>0.5</v>
      </c>
      <c r="P71" s="1">
        <f t="shared" si="57"/>
        <v>0.5</v>
      </c>
      <c r="Q71" s="1">
        <f t="shared" si="57"/>
        <v>1</v>
      </c>
      <c r="S71" s="1">
        <f t="shared" si="68"/>
        <v>0</v>
      </c>
      <c r="T71" s="1">
        <f t="shared" si="58"/>
        <v>0</v>
      </c>
      <c r="U71" s="1">
        <f t="shared" si="58"/>
        <v>0</v>
      </c>
      <c r="V71" s="1">
        <f t="shared" si="58"/>
        <v>0</v>
      </c>
      <c r="W71" s="1">
        <f t="shared" si="58"/>
        <v>0.5</v>
      </c>
      <c r="Y71" s="1">
        <f t="shared" si="69"/>
        <v>0</v>
      </c>
      <c r="Z71" s="1">
        <f t="shared" si="59"/>
        <v>1</v>
      </c>
      <c r="AA71" s="1">
        <f t="shared" si="59"/>
        <v>0</v>
      </c>
      <c r="AB71" s="1">
        <f t="shared" si="59"/>
        <v>0</v>
      </c>
      <c r="AC71" s="1">
        <f t="shared" si="59"/>
        <v>1</v>
      </c>
      <c r="AE71" s="1">
        <f t="shared" si="70"/>
        <v>0</v>
      </c>
      <c r="AF71" s="1">
        <f t="shared" si="60"/>
        <v>1</v>
      </c>
      <c r="AG71" s="1">
        <f t="shared" si="60"/>
        <v>0</v>
      </c>
      <c r="AH71" s="1">
        <f t="shared" si="60"/>
        <v>0</v>
      </c>
      <c r="AI71" s="1">
        <f t="shared" si="60"/>
        <v>1</v>
      </c>
      <c r="AK71" s="1">
        <f t="shared" si="71"/>
        <v>0</v>
      </c>
      <c r="AL71" s="1">
        <f t="shared" si="61"/>
        <v>1</v>
      </c>
      <c r="AM71" s="1">
        <f t="shared" si="61"/>
        <v>0</v>
      </c>
      <c r="AN71" s="1">
        <f t="shared" si="61"/>
        <v>0</v>
      </c>
      <c r="AO71" s="1">
        <f t="shared" si="61"/>
        <v>1</v>
      </c>
      <c r="AQ71" s="1">
        <f t="shared" si="72"/>
        <v>0</v>
      </c>
      <c r="AR71" s="1">
        <f t="shared" si="62"/>
        <v>1</v>
      </c>
      <c r="AS71" s="1">
        <f t="shared" si="62"/>
        <v>0</v>
      </c>
      <c r="AT71" s="1">
        <f t="shared" si="62"/>
        <v>0</v>
      </c>
      <c r="AU71" s="1">
        <f t="shared" si="62"/>
        <v>1</v>
      </c>
      <c r="AW71" s="1">
        <f t="shared" si="73"/>
        <v>0.5</v>
      </c>
      <c r="AX71" s="1">
        <f t="shared" si="63"/>
        <v>1</v>
      </c>
      <c r="AY71" s="1">
        <f t="shared" si="63"/>
        <v>0</v>
      </c>
      <c r="AZ71" s="1">
        <f t="shared" si="63"/>
        <v>0</v>
      </c>
      <c r="BA71" s="1">
        <f t="shared" si="63"/>
        <v>1</v>
      </c>
      <c r="BC71" s="1">
        <f t="shared" si="74"/>
        <v>1</v>
      </c>
      <c r="BD71" s="1">
        <f t="shared" si="64"/>
        <v>1</v>
      </c>
      <c r="BE71" s="1">
        <f t="shared" si="64"/>
        <v>1</v>
      </c>
      <c r="BF71" s="1">
        <f t="shared" si="64"/>
        <v>1</v>
      </c>
      <c r="BG71" s="1">
        <f t="shared" si="64"/>
        <v>1</v>
      </c>
    </row>
    <row r="73" spans="1:59" x14ac:dyDescent="0.3">
      <c r="B73" s="36" t="s">
        <v>85</v>
      </c>
      <c r="C73" s="36"/>
      <c r="G73" s="36" t="s">
        <v>86</v>
      </c>
      <c r="H73" s="36"/>
      <c r="L73" s="36" t="s">
        <v>87</v>
      </c>
      <c r="M73" s="36"/>
      <c r="Q73" s="36" t="s">
        <v>88</v>
      </c>
      <c r="R73" s="36"/>
      <c r="V73" s="36" t="s">
        <v>89</v>
      </c>
      <c r="W73" s="36"/>
      <c r="AA73" s="36" t="s">
        <v>90</v>
      </c>
      <c r="AB73" s="36"/>
      <c r="AF73" s="36" t="s">
        <v>91</v>
      </c>
      <c r="AG73" s="36"/>
      <c r="AK73" s="36" t="s">
        <v>92</v>
      </c>
      <c r="AL73" s="36"/>
      <c r="AP73" s="36" t="s">
        <v>93</v>
      </c>
      <c r="AQ73" s="36"/>
      <c r="AU73" s="36" t="s">
        <v>94</v>
      </c>
      <c r="AV73" s="36"/>
    </row>
    <row r="74" spans="1:59" x14ac:dyDescent="0.3">
      <c r="A74" s="26" t="s">
        <v>81</v>
      </c>
      <c r="B74" s="26" t="s">
        <v>82</v>
      </c>
      <c r="C74" s="26" t="s">
        <v>83</v>
      </c>
      <c r="D74" s="26" t="s">
        <v>84</v>
      </c>
      <c r="F74" s="26" t="s">
        <v>81</v>
      </c>
      <c r="G74" s="26" t="s">
        <v>82</v>
      </c>
      <c r="H74" s="26" t="s">
        <v>83</v>
      </c>
      <c r="I74" s="26" t="s">
        <v>84</v>
      </c>
      <c r="K74" s="26" t="s">
        <v>81</v>
      </c>
      <c r="L74" s="26" t="s">
        <v>82</v>
      </c>
      <c r="M74" s="26" t="s">
        <v>83</v>
      </c>
      <c r="N74" s="26" t="s">
        <v>84</v>
      </c>
      <c r="P74" s="26" t="s">
        <v>81</v>
      </c>
      <c r="Q74" s="26" t="s">
        <v>82</v>
      </c>
      <c r="R74" s="26" t="s">
        <v>83</v>
      </c>
      <c r="S74" s="26" t="s">
        <v>84</v>
      </c>
      <c r="U74" s="26" t="s">
        <v>81</v>
      </c>
      <c r="V74" s="26" t="s">
        <v>82</v>
      </c>
      <c r="W74" s="26" t="s">
        <v>83</v>
      </c>
      <c r="X74" s="26" t="s">
        <v>84</v>
      </c>
      <c r="Z74" s="26" t="s">
        <v>81</v>
      </c>
      <c r="AA74" s="26" t="s">
        <v>82</v>
      </c>
      <c r="AB74" s="26" t="s">
        <v>83</v>
      </c>
      <c r="AC74" s="26" t="s">
        <v>84</v>
      </c>
      <c r="AE74" s="26" t="s">
        <v>81</v>
      </c>
      <c r="AF74" s="26" t="s">
        <v>82</v>
      </c>
      <c r="AG74" s="26" t="s">
        <v>83</v>
      </c>
      <c r="AH74" s="26" t="s">
        <v>84</v>
      </c>
      <c r="AJ74" s="26" t="s">
        <v>81</v>
      </c>
      <c r="AK74" s="26" t="s">
        <v>82</v>
      </c>
      <c r="AL74" s="26" t="s">
        <v>83</v>
      </c>
      <c r="AM74" s="26" t="s">
        <v>84</v>
      </c>
      <c r="AO74" s="26" t="s">
        <v>81</v>
      </c>
      <c r="AP74" s="26" t="s">
        <v>82</v>
      </c>
      <c r="AQ74" s="26" t="s">
        <v>83</v>
      </c>
      <c r="AR74" s="26" t="s">
        <v>84</v>
      </c>
      <c r="AT74" s="26" t="s">
        <v>81</v>
      </c>
      <c r="AU74" s="26" t="s">
        <v>82</v>
      </c>
      <c r="AV74" s="26" t="s">
        <v>83</v>
      </c>
      <c r="AW74" s="26" t="s">
        <v>84</v>
      </c>
    </row>
    <row r="75" spans="1:59" x14ac:dyDescent="0.3">
      <c r="A75" s="1">
        <f>IF($D$6&gt;E6,0,IF($D$6=E6,0.5,IF($D$6&lt;E6,1)))</f>
        <v>0.5</v>
      </c>
      <c r="B75" s="1">
        <f t="shared" ref="B75:D84" si="75">IF($D$6&gt;F6,0,IF($D$6=F6,0.5,IF($D$6&lt;F6,1)))</f>
        <v>0.5</v>
      </c>
      <c r="C75" s="1">
        <f t="shared" si="75"/>
        <v>1</v>
      </c>
      <c r="D75" s="1">
        <f>IF($D$6&gt;H6,0,IF($D$6=H6,0.5,IF($D$6&lt;H6,1)))</f>
        <v>1</v>
      </c>
      <c r="F75" s="1">
        <f>IF($D$7&gt;E6,0,IF($D$7=E6,0.5,IF($D$7&lt;E6,1)))</f>
        <v>1</v>
      </c>
      <c r="G75" s="1">
        <f t="shared" ref="G75:I75" si="76">IF($D$7&gt;F6,0,IF($D$7=F6,0.5,IF($D$7&lt;F6,1)))</f>
        <v>1</v>
      </c>
      <c r="H75" s="1">
        <f t="shared" si="76"/>
        <v>1</v>
      </c>
      <c r="I75" s="1">
        <f t="shared" si="76"/>
        <v>1</v>
      </c>
      <c r="K75" s="1">
        <f>IF($D$8&gt;E6,0,IF($D$8=E6,0.5,IF($D$8&lt;E6,1)))</f>
        <v>1</v>
      </c>
      <c r="L75" s="1">
        <f t="shared" ref="L75:N84" si="77">IF($D$8&gt;F6,0,IF($D$8=F6,0.5,IF($D$8&lt;F6,1)))</f>
        <v>1</v>
      </c>
      <c r="M75" s="1">
        <f t="shared" si="77"/>
        <v>1</v>
      </c>
      <c r="N75" s="1">
        <f t="shared" si="77"/>
        <v>1</v>
      </c>
      <c r="P75" s="1">
        <f>IF($D$9&gt;E6,0,IF($D$9=E6,0.5,IF($D$9&lt;E6,1)))</f>
        <v>0</v>
      </c>
      <c r="Q75" s="1">
        <f t="shared" ref="Q75:S84" si="78">IF($D$9&gt;F6,0,IF($D$9=F6,0.5,IF($D$9&lt;F6,1)))</f>
        <v>0</v>
      </c>
      <c r="R75" s="1">
        <f t="shared" si="78"/>
        <v>1</v>
      </c>
      <c r="S75" s="1">
        <f t="shared" si="78"/>
        <v>0.5</v>
      </c>
      <c r="U75" s="1">
        <f>IF($D$10&gt;E6,0,IF($D$10=E6,0.5,IF($D$10&lt;E6,1)))</f>
        <v>1</v>
      </c>
      <c r="V75" s="1">
        <f t="shared" ref="V75:X84" si="79">IF($D$10&gt;F6,0,IF($D$10=F6,0.5,IF($D$10&lt;F6,1)))</f>
        <v>1</v>
      </c>
      <c r="W75" s="1">
        <f t="shared" si="79"/>
        <v>1</v>
      </c>
      <c r="X75" s="1">
        <f t="shared" si="79"/>
        <v>1</v>
      </c>
      <c r="Z75" s="1">
        <f>IF($D$11&gt;E6,0,IF($D$11=E6,0.5,IF($D$11&lt;E6,1)))</f>
        <v>1</v>
      </c>
      <c r="AA75" s="1">
        <f t="shared" ref="AA75:AC84" si="80">IF($D$11&gt;F6,0,IF($D$11=F6,0.5,IF($D$11&lt;F6,1)))</f>
        <v>1</v>
      </c>
      <c r="AB75" s="1">
        <f t="shared" si="80"/>
        <v>1</v>
      </c>
      <c r="AC75" s="1">
        <f t="shared" si="80"/>
        <v>1</v>
      </c>
      <c r="AE75" s="1">
        <f>IF($D$12&gt;E6,0,IF($D$12=E6,0.5,IF($D$12&lt;E6,1)))</f>
        <v>0.5</v>
      </c>
      <c r="AF75" s="1">
        <f t="shared" ref="AF75:AH84" si="81">IF($D$12&gt;F6,0,IF($D$12=F6,0.5,IF($D$12&lt;F6,1)))</f>
        <v>0.5</v>
      </c>
      <c r="AG75" s="1">
        <f t="shared" si="81"/>
        <v>1</v>
      </c>
      <c r="AH75" s="1">
        <f t="shared" si="81"/>
        <v>1</v>
      </c>
      <c r="AJ75" s="1">
        <f>IF($D$13&gt;E6,0,IF($D$13=E6,0.5,IF($D$13&lt;E6,1)))</f>
        <v>1</v>
      </c>
      <c r="AK75" s="1">
        <f t="shared" ref="AK75:AM84" si="82">IF($D$13&gt;F6,0,IF($D$13=F6,0.5,IF($D$13&lt;F6,1)))</f>
        <v>1</v>
      </c>
      <c r="AL75" s="1">
        <f t="shared" si="82"/>
        <v>1</v>
      </c>
      <c r="AM75" s="1">
        <f t="shared" si="82"/>
        <v>1</v>
      </c>
      <c r="AO75" s="1">
        <f>IF($D$14&gt;E6,0,IF($D$14=E6,0.5,IF($D$14&lt;E6,1)))</f>
        <v>0.5</v>
      </c>
      <c r="AP75" s="1">
        <f t="shared" ref="AP75:AR84" si="83">IF($D$14&gt;F6,0,IF($D$14=F6,0.5,IF($D$14&lt;F6,1)))</f>
        <v>0.5</v>
      </c>
      <c r="AQ75" s="1">
        <f t="shared" si="83"/>
        <v>1</v>
      </c>
      <c r="AR75" s="1">
        <f t="shared" si="83"/>
        <v>1</v>
      </c>
      <c r="AT75" s="1">
        <f>IF($D$15&gt;E6,0,IF($D$15=E6,0.5,IF($D$15&lt;E6,1)))</f>
        <v>1</v>
      </c>
      <c r="AU75" s="1">
        <f t="shared" ref="AU75:AW84" si="84">IF($D$15&gt;F6,0,IF($D$15=F6,0.5,IF($D$15&lt;F6,1)))</f>
        <v>1</v>
      </c>
      <c r="AV75" s="1">
        <f t="shared" si="84"/>
        <v>1</v>
      </c>
      <c r="AW75" s="1">
        <f t="shared" si="84"/>
        <v>1</v>
      </c>
    </row>
    <row r="76" spans="1:59" x14ac:dyDescent="0.3">
      <c r="A76" s="1">
        <f t="shared" ref="A76:A84" si="85">IF($D$6&gt;E7,0,IF($D$6=E7,0.5,IF($D$6&lt;E7,1)))</f>
        <v>0</v>
      </c>
      <c r="B76" s="1">
        <f t="shared" si="75"/>
        <v>1</v>
      </c>
      <c r="C76" s="1">
        <f t="shared" si="75"/>
        <v>0</v>
      </c>
      <c r="D76" s="1">
        <f t="shared" si="75"/>
        <v>0.5</v>
      </c>
      <c r="F76" s="1">
        <f t="shared" ref="F76:I84" si="86">IF($D$7&gt;E7,0,IF($D$7=E7,0.5,IF($D$7&lt;E7,1)))</f>
        <v>1</v>
      </c>
      <c r="G76" s="1">
        <f t="shared" si="86"/>
        <v>1</v>
      </c>
      <c r="H76" s="1">
        <f t="shared" si="86"/>
        <v>0</v>
      </c>
      <c r="I76" s="1">
        <f t="shared" si="86"/>
        <v>1</v>
      </c>
      <c r="K76" s="1">
        <f t="shared" ref="K76:K84" si="87">IF($D$8&gt;E7,0,IF($D$8=E7,0.5,IF($D$8&lt;E7,1)))</f>
        <v>1</v>
      </c>
      <c r="L76" s="1">
        <f t="shared" si="77"/>
        <v>1</v>
      </c>
      <c r="M76" s="1">
        <f t="shared" si="77"/>
        <v>0</v>
      </c>
      <c r="N76" s="1">
        <f t="shared" si="77"/>
        <v>1</v>
      </c>
      <c r="P76" s="1">
        <f t="shared" ref="P76:P84" si="88">IF($D$9&gt;E7,0,IF($D$9=E7,0.5,IF($D$9&lt;E7,1)))</f>
        <v>0</v>
      </c>
      <c r="Q76" s="1">
        <f t="shared" si="78"/>
        <v>0.5</v>
      </c>
      <c r="R76" s="1">
        <f t="shared" si="78"/>
        <v>0</v>
      </c>
      <c r="S76" s="1">
        <f t="shared" si="78"/>
        <v>0</v>
      </c>
      <c r="U76" s="1">
        <f t="shared" ref="U76:U84" si="89">IF($D$10&gt;E7,0,IF($D$10=E7,0.5,IF($D$10&lt;E7,1)))</f>
        <v>1</v>
      </c>
      <c r="V76" s="1">
        <f t="shared" si="79"/>
        <v>1</v>
      </c>
      <c r="W76" s="1">
        <f t="shared" si="79"/>
        <v>1</v>
      </c>
      <c r="X76" s="1">
        <f t="shared" si="79"/>
        <v>1</v>
      </c>
      <c r="Z76" s="1">
        <f t="shared" ref="Z76:Z84" si="90">IF($D$11&gt;E7,0,IF($D$11=E7,0.5,IF($D$11&lt;E7,1)))</f>
        <v>1</v>
      </c>
      <c r="AA76" s="1">
        <f t="shared" si="80"/>
        <v>1</v>
      </c>
      <c r="AB76" s="1">
        <f t="shared" si="80"/>
        <v>0</v>
      </c>
      <c r="AC76" s="1">
        <f t="shared" si="80"/>
        <v>1</v>
      </c>
      <c r="AE76" s="1">
        <f t="shared" ref="AE76:AE84" si="91">IF($D$12&gt;E7,0,IF($D$12=E7,0.5,IF($D$12&lt;E7,1)))</f>
        <v>0</v>
      </c>
      <c r="AF76" s="1">
        <f t="shared" si="81"/>
        <v>1</v>
      </c>
      <c r="AG76" s="1">
        <f t="shared" si="81"/>
        <v>0</v>
      </c>
      <c r="AH76" s="1">
        <f t="shared" si="81"/>
        <v>0.5</v>
      </c>
      <c r="AJ76" s="1">
        <f t="shared" ref="AJ76:AJ84" si="92">IF($D$13&gt;E7,0,IF($D$13=E7,0.5,IF($D$13&lt;E7,1)))</f>
        <v>0.5</v>
      </c>
      <c r="AK76" s="1">
        <f t="shared" si="82"/>
        <v>1</v>
      </c>
      <c r="AL76" s="1">
        <f t="shared" si="82"/>
        <v>0</v>
      </c>
      <c r="AM76" s="1">
        <f t="shared" si="82"/>
        <v>1</v>
      </c>
      <c r="AO76" s="1">
        <f t="shared" ref="AO76:AO84" si="93">IF($D$14&gt;E7,0,IF($D$14=E7,0.5,IF($D$14&lt;E7,1)))</f>
        <v>0</v>
      </c>
      <c r="AP76" s="1">
        <f t="shared" si="83"/>
        <v>1</v>
      </c>
      <c r="AQ76" s="1">
        <f t="shared" si="83"/>
        <v>0</v>
      </c>
      <c r="AR76" s="1">
        <f t="shared" si="83"/>
        <v>0.5</v>
      </c>
      <c r="AT76" s="1">
        <f t="shared" ref="AT76:AT84" si="94">IF($D$15&gt;E7,0,IF($D$15=E7,0.5,IF($D$15&lt;E7,1)))</f>
        <v>0.5</v>
      </c>
      <c r="AU76" s="1">
        <f t="shared" si="84"/>
        <v>1</v>
      </c>
      <c r="AV76" s="1">
        <f t="shared" si="84"/>
        <v>0</v>
      </c>
      <c r="AW76" s="1">
        <f t="shared" si="84"/>
        <v>1</v>
      </c>
    </row>
    <row r="77" spans="1:59" x14ac:dyDescent="0.3">
      <c r="A77" s="1">
        <f t="shared" si="85"/>
        <v>0</v>
      </c>
      <c r="B77" s="1">
        <f t="shared" si="75"/>
        <v>0</v>
      </c>
      <c r="C77" s="1">
        <f t="shared" si="75"/>
        <v>0</v>
      </c>
      <c r="D77" s="1">
        <f t="shared" si="75"/>
        <v>1</v>
      </c>
      <c r="F77" s="1">
        <f t="shared" si="86"/>
        <v>1</v>
      </c>
      <c r="G77" s="1">
        <f t="shared" si="86"/>
        <v>0.5</v>
      </c>
      <c r="H77" s="1">
        <f t="shared" si="86"/>
        <v>0.5</v>
      </c>
      <c r="I77" s="1">
        <f t="shared" si="86"/>
        <v>1</v>
      </c>
      <c r="K77" s="1">
        <f t="shared" si="87"/>
        <v>1</v>
      </c>
      <c r="L77" s="1">
        <f t="shared" si="77"/>
        <v>0.5</v>
      </c>
      <c r="M77" s="1">
        <f t="shared" si="77"/>
        <v>0.5</v>
      </c>
      <c r="N77" s="1">
        <f t="shared" si="77"/>
        <v>1</v>
      </c>
      <c r="P77" s="1">
        <f t="shared" si="88"/>
        <v>0</v>
      </c>
      <c r="Q77" s="1">
        <f t="shared" si="78"/>
        <v>0</v>
      </c>
      <c r="R77" s="1">
        <f t="shared" si="78"/>
        <v>0</v>
      </c>
      <c r="S77" s="1">
        <f t="shared" si="78"/>
        <v>1</v>
      </c>
      <c r="U77" s="1">
        <f t="shared" si="89"/>
        <v>1</v>
      </c>
      <c r="V77" s="1">
        <f t="shared" si="79"/>
        <v>1</v>
      </c>
      <c r="W77" s="1">
        <f t="shared" si="79"/>
        <v>1</v>
      </c>
      <c r="X77" s="1">
        <f t="shared" si="79"/>
        <v>1</v>
      </c>
      <c r="Z77" s="1">
        <f t="shared" si="90"/>
        <v>1</v>
      </c>
      <c r="AA77" s="1">
        <f t="shared" si="80"/>
        <v>0.5</v>
      </c>
      <c r="AB77" s="1">
        <f t="shared" si="80"/>
        <v>0.5</v>
      </c>
      <c r="AC77" s="1">
        <f t="shared" si="80"/>
        <v>1</v>
      </c>
      <c r="AE77" s="1">
        <f t="shared" si="91"/>
        <v>0</v>
      </c>
      <c r="AF77" s="1">
        <f t="shared" si="81"/>
        <v>0</v>
      </c>
      <c r="AG77" s="1">
        <f t="shared" si="81"/>
        <v>0</v>
      </c>
      <c r="AH77" s="1">
        <f t="shared" si="81"/>
        <v>1</v>
      </c>
      <c r="AJ77" s="1">
        <f t="shared" si="92"/>
        <v>0.5</v>
      </c>
      <c r="AK77" s="1">
        <f t="shared" si="82"/>
        <v>0</v>
      </c>
      <c r="AL77" s="1">
        <f t="shared" si="82"/>
        <v>0</v>
      </c>
      <c r="AM77" s="1">
        <f t="shared" si="82"/>
        <v>1</v>
      </c>
      <c r="AO77" s="1">
        <f t="shared" si="93"/>
        <v>0</v>
      </c>
      <c r="AP77" s="1">
        <f t="shared" si="83"/>
        <v>0</v>
      </c>
      <c r="AQ77" s="1">
        <f t="shared" si="83"/>
        <v>0</v>
      </c>
      <c r="AR77" s="1">
        <f t="shared" si="83"/>
        <v>1</v>
      </c>
      <c r="AT77" s="1">
        <f t="shared" si="94"/>
        <v>0.5</v>
      </c>
      <c r="AU77" s="1">
        <f t="shared" si="84"/>
        <v>0</v>
      </c>
      <c r="AV77" s="1">
        <f t="shared" si="84"/>
        <v>0</v>
      </c>
      <c r="AW77" s="1">
        <f t="shared" si="84"/>
        <v>1</v>
      </c>
    </row>
    <row r="78" spans="1:59" x14ac:dyDescent="0.3">
      <c r="A78" s="1">
        <f t="shared" si="85"/>
        <v>1</v>
      </c>
      <c r="B78" s="1">
        <f t="shared" si="75"/>
        <v>0</v>
      </c>
      <c r="C78" s="1">
        <f t="shared" si="75"/>
        <v>0</v>
      </c>
      <c r="D78" s="1">
        <f t="shared" si="75"/>
        <v>0</v>
      </c>
      <c r="F78" s="1">
        <f t="shared" si="86"/>
        <v>1</v>
      </c>
      <c r="G78" s="1">
        <f t="shared" si="86"/>
        <v>1</v>
      </c>
      <c r="H78" s="1">
        <f t="shared" si="86"/>
        <v>0.5</v>
      </c>
      <c r="I78" s="1">
        <f t="shared" si="86"/>
        <v>1</v>
      </c>
      <c r="K78" s="1">
        <f t="shared" si="87"/>
        <v>1</v>
      </c>
      <c r="L78" s="1">
        <f t="shared" si="77"/>
        <v>1</v>
      </c>
      <c r="M78" s="1">
        <f t="shared" si="77"/>
        <v>0.5</v>
      </c>
      <c r="N78" s="1">
        <f t="shared" si="77"/>
        <v>1</v>
      </c>
      <c r="P78" s="1">
        <f t="shared" si="88"/>
        <v>1</v>
      </c>
      <c r="Q78" s="1">
        <f t="shared" si="78"/>
        <v>0</v>
      </c>
      <c r="R78" s="1">
        <f t="shared" si="78"/>
        <v>0</v>
      </c>
      <c r="S78" s="1">
        <f t="shared" si="78"/>
        <v>0</v>
      </c>
      <c r="U78" s="1">
        <f t="shared" si="89"/>
        <v>1</v>
      </c>
      <c r="V78" s="1">
        <f t="shared" si="79"/>
        <v>1</v>
      </c>
      <c r="W78" s="1">
        <f t="shared" si="79"/>
        <v>1</v>
      </c>
      <c r="X78" s="1">
        <f t="shared" si="79"/>
        <v>1</v>
      </c>
      <c r="Z78" s="1">
        <f t="shared" si="90"/>
        <v>1</v>
      </c>
      <c r="AA78" s="1">
        <f t="shared" si="80"/>
        <v>1</v>
      </c>
      <c r="AB78" s="1">
        <f t="shared" si="80"/>
        <v>0.5</v>
      </c>
      <c r="AC78" s="1">
        <f t="shared" si="80"/>
        <v>1</v>
      </c>
      <c r="AE78" s="1">
        <f t="shared" si="91"/>
        <v>1</v>
      </c>
      <c r="AF78" s="1">
        <f t="shared" si="81"/>
        <v>0</v>
      </c>
      <c r="AG78" s="1">
        <f t="shared" si="81"/>
        <v>0</v>
      </c>
      <c r="AH78" s="1">
        <f t="shared" si="81"/>
        <v>0</v>
      </c>
      <c r="AJ78" s="1">
        <f t="shared" si="92"/>
        <v>1</v>
      </c>
      <c r="AK78" s="1">
        <f t="shared" si="82"/>
        <v>0.5</v>
      </c>
      <c r="AL78" s="1">
        <f t="shared" si="82"/>
        <v>0</v>
      </c>
      <c r="AM78" s="1">
        <f t="shared" si="82"/>
        <v>0.5</v>
      </c>
      <c r="AO78" s="1">
        <f t="shared" si="93"/>
        <v>1</v>
      </c>
      <c r="AP78" s="1">
        <f t="shared" si="83"/>
        <v>0</v>
      </c>
      <c r="AQ78" s="1">
        <f t="shared" si="83"/>
        <v>0</v>
      </c>
      <c r="AR78" s="1">
        <f t="shared" si="83"/>
        <v>0</v>
      </c>
      <c r="AT78" s="1">
        <f t="shared" si="94"/>
        <v>1</v>
      </c>
      <c r="AU78" s="1">
        <f t="shared" si="84"/>
        <v>0.5</v>
      </c>
      <c r="AV78" s="1">
        <f t="shared" si="84"/>
        <v>0</v>
      </c>
      <c r="AW78" s="1">
        <f t="shared" si="84"/>
        <v>0.5</v>
      </c>
    </row>
    <row r="79" spans="1:59" x14ac:dyDescent="0.3">
      <c r="A79" s="1">
        <f t="shared" si="85"/>
        <v>0</v>
      </c>
      <c r="B79" s="1">
        <f t="shared" si="75"/>
        <v>0.5</v>
      </c>
      <c r="C79" s="1">
        <f t="shared" si="75"/>
        <v>0.5</v>
      </c>
      <c r="D79" s="1">
        <f t="shared" si="75"/>
        <v>1</v>
      </c>
      <c r="F79" s="1">
        <f t="shared" si="86"/>
        <v>0.5</v>
      </c>
      <c r="G79" s="1">
        <f t="shared" si="86"/>
        <v>1</v>
      </c>
      <c r="H79" s="1">
        <f t="shared" si="86"/>
        <v>1</v>
      </c>
      <c r="I79" s="1">
        <f t="shared" si="86"/>
        <v>1</v>
      </c>
      <c r="K79" s="1">
        <f t="shared" si="87"/>
        <v>0.5</v>
      </c>
      <c r="L79" s="1">
        <f t="shared" si="77"/>
        <v>1</v>
      </c>
      <c r="M79" s="1">
        <f t="shared" si="77"/>
        <v>1</v>
      </c>
      <c r="N79" s="1">
        <f t="shared" si="77"/>
        <v>1</v>
      </c>
      <c r="P79" s="1">
        <f t="shared" si="88"/>
        <v>0</v>
      </c>
      <c r="Q79" s="1">
        <f t="shared" si="78"/>
        <v>0</v>
      </c>
      <c r="R79" s="1">
        <f t="shared" si="78"/>
        <v>0</v>
      </c>
      <c r="S79" s="1">
        <f t="shared" si="78"/>
        <v>1</v>
      </c>
      <c r="U79" s="1">
        <f t="shared" si="89"/>
        <v>1</v>
      </c>
      <c r="V79" s="1">
        <f t="shared" si="79"/>
        <v>1</v>
      </c>
      <c r="W79" s="1">
        <f t="shared" si="79"/>
        <v>1</v>
      </c>
      <c r="X79" s="1">
        <f t="shared" si="79"/>
        <v>1</v>
      </c>
      <c r="Z79" s="1">
        <f t="shared" si="90"/>
        <v>0.5</v>
      </c>
      <c r="AA79" s="1">
        <f t="shared" si="80"/>
        <v>1</v>
      </c>
      <c r="AB79" s="1">
        <f t="shared" si="80"/>
        <v>1</v>
      </c>
      <c r="AC79" s="1">
        <f t="shared" si="80"/>
        <v>1</v>
      </c>
      <c r="AE79" s="1">
        <f t="shared" si="91"/>
        <v>0</v>
      </c>
      <c r="AF79" s="1">
        <f t="shared" si="81"/>
        <v>0.5</v>
      </c>
      <c r="AG79" s="1">
        <f t="shared" si="81"/>
        <v>0.5</v>
      </c>
      <c r="AH79" s="1">
        <f t="shared" si="81"/>
        <v>1</v>
      </c>
      <c r="AJ79" s="1">
        <f t="shared" si="92"/>
        <v>0</v>
      </c>
      <c r="AK79" s="1">
        <f t="shared" si="82"/>
        <v>1</v>
      </c>
      <c r="AL79" s="1">
        <f t="shared" si="82"/>
        <v>1</v>
      </c>
      <c r="AM79" s="1">
        <f t="shared" si="82"/>
        <v>1</v>
      </c>
      <c r="AO79" s="1">
        <f t="shared" si="93"/>
        <v>0</v>
      </c>
      <c r="AP79" s="1">
        <f t="shared" si="83"/>
        <v>0.5</v>
      </c>
      <c r="AQ79" s="1">
        <f t="shared" si="83"/>
        <v>0.5</v>
      </c>
      <c r="AR79" s="1">
        <f t="shared" si="83"/>
        <v>1</v>
      </c>
      <c r="AT79" s="1">
        <f t="shared" si="94"/>
        <v>0</v>
      </c>
      <c r="AU79" s="1">
        <f t="shared" si="84"/>
        <v>1</v>
      </c>
      <c r="AV79" s="1">
        <f t="shared" si="84"/>
        <v>1</v>
      </c>
      <c r="AW79" s="1">
        <f t="shared" si="84"/>
        <v>1</v>
      </c>
    </row>
    <row r="80" spans="1:59" x14ac:dyDescent="0.3">
      <c r="A80" s="1">
        <f t="shared" si="85"/>
        <v>0.5</v>
      </c>
      <c r="B80" s="1">
        <f t="shared" si="75"/>
        <v>1</v>
      </c>
      <c r="C80" s="1">
        <f t="shared" si="75"/>
        <v>0.5</v>
      </c>
      <c r="D80" s="1">
        <f t="shared" si="75"/>
        <v>1</v>
      </c>
      <c r="F80" s="1">
        <f t="shared" si="86"/>
        <v>1</v>
      </c>
      <c r="G80" s="1">
        <f t="shared" si="86"/>
        <v>1</v>
      </c>
      <c r="H80" s="1">
        <f t="shared" si="86"/>
        <v>1</v>
      </c>
      <c r="I80" s="1">
        <f t="shared" si="86"/>
        <v>1</v>
      </c>
      <c r="K80" s="1">
        <f t="shared" si="87"/>
        <v>1</v>
      </c>
      <c r="L80" s="1">
        <f t="shared" si="77"/>
        <v>1</v>
      </c>
      <c r="M80" s="1">
        <f t="shared" si="77"/>
        <v>1</v>
      </c>
      <c r="N80" s="1">
        <f t="shared" si="77"/>
        <v>1</v>
      </c>
      <c r="P80" s="1">
        <f t="shared" si="88"/>
        <v>0</v>
      </c>
      <c r="Q80" s="1">
        <f t="shared" si="78"/>
        <v>1</v>
      </c>
      <c r="R80" s="1">
        <f t="shared" si="78"/>
        <v>0</v>
      </c>
      <c r="S80" s="1">
        <f t="shared" si="78"/>
        <v>1</v>
      </c>
      <c r="U80" s="1">
        <f t="shared" si="89"/>
        <v>1</v>
      </c>
      <c r="V80" s="1">
        <f t="shared" si="79"/>
        <v>1</v>
      </c>
      <c r="W80" s="1">
        <f t="shared" si="79"/>
        <v>1</v>
      </c>
      <c r="X80" s="1">
        <f t="shared" si="79"/>
        <v>1</v>
      </c>
      <c r="Z80" s="1">
        <f t="shared" si="90"/>
        <v>1</v>
      </c>
      <c r="AA80" s="1">
        <f t="shared" si="80"/>
        <v>1</v>
      </c>
      <c r="AB80" s="1">
        <f t="shared" si="80"/>
        <v>1</v>
      </c>
      <c r="AC80" s="1">
        <f t="shared" si="80"/>
        <v>1</v>
      </c>
      <c r="AE80" s="1">
        <f t="shared" si="91"/>
        <v>0.5</v>
      </c>
      <c r="AF80" s="1">
        <f t="shared" si="81"/>
        <v>1</v>
      </c>
      <c r="AG80" s="1">
        <f t="shared" si="81"/>
        <v>0.5</v>
      </c>
      <c r="AH80" s="1">
        <f t="shared" si="81"/>
        <v>1</v>
      </c>
      <c r="AJ80" s="1">
        <f t="shared" si="92"/>
        <v>1</v>
      </c>
      <c r="AK80" s="1">
        <f t="shared" si="82"/>
        <v>1</v>
      </c>
      <c r="AL80" s="1">
        <f t="shared" si="82"/>
        <v>1</v>
      </c>
      <c r="AM80" s="1">
        <f t="shared" si="82"/>
        <v>1</v>
      </c>
      <c r="AO80" s="1">
        <f t="shared" si="93"/>
        <v>0.5</v>
      </c>
      <c r="AP80" s="1">
        <f t="shared" si="83"/>
        <v>1</v>
      </c>
      <c r="AQ80" s="1">
        <f t="shared" si="83"/>
        <v>0.5</v>
      </c>
      <c r="AR80" s="1">
        <f t="shared" si="83"/>
        <v>1</v>
      </c>
      <c r="AT80" s="1">
        <f t="shared" si="94"/>
        <v>1</v>
      </c>
      <c r="AU80" s="1">
        <f t="shared" si="84"/>
        <v>1</v>
      </c>
      <c r="AV80" s="1">
        <f t="shared" si="84"/>
        <v>1</v>
      </c>
      <c r="AW80" s="1">
        <f t="shared" si="84"/>
        <v>1</v>
      </c>
    </row>
    <row r="81" spans="1:49" x14ac:dyDescent="0.3">
      <c r="A81" s="1">
        <f t="shared" si="85"/>
        <v>0</v>
      </c>
      <c r="B81" s="1">
        <f t="shared" si="75"/>
        <v>0</v>
      </c>
      <c r="C81" s="1">
        <f t="shared" si="75"/>
        <v>0.5</v>
      </c>
      <c r="D81" s="1">
        <f t="shared" si="75"/>
        <v>0.5</v>
      </c>
      <c r="F81" s="1">
        <f t="shared" si="86"/>
        <v>0.5</v>
      </c>
      <c r="G81" s="1">
        <f t="shared" si="86"/>
        <v>1</v>
      </c>
      <c r="H81" s="1">
        <f t="shared" si="86"/>
        <v>1</v>
      </c>
      <c r="I81" s="1">
        <f t="shared" si="86"/>
        <v>1</v>
      </c>
      <c r="K81" s="1">
        <f t="shared" si="87"/>
        <v>0.5</v>
      </c>
      <c r="L81" s="1">
        <f t="shared" si="77"/>
        <v>1</v>
      </c>
      <c r="M81" s="1">
        <f t="shared" si="77"/>
        <v>1</v>
      </c>
      <c r="N81" s="1">
        <f t="shared" si="77"/>
        <v>1</v>
      </c>
      <c r="P81" s="1">
        <f t="shared" si="88"/>
        <v>0</v>
      </c>
      <c r="Q81" s="1">
        <f t="shared" si="78"/>
        <v>0</v>
      </c>
      <c r="R81" s="1">
        <f t="shared" si="78"/>
        <v>0</v>
      </c>
      <c r="S81" s="1">
        <f t="shared" si="78"/>
        <v>0</v>
      </c>
      <c r="U81" s="1">
        <f t="shared" si="89"/>
        <v>1</v>
      </c>
      <c r="V81" s="1">
        <f t="shared" si="79"/>
        <v>1</v>
      </c>
      <c r="W81" s="1">
        <f t="shared" si="79"/>
        <v>1</v>
      </c>
      <c r="X81" s="1">
        <f t="shared" si="79"/>
        <v>1</v>
      </c>
      <c r="Z81" s="1">
        <f t="shared" si="90"/>
        <v>0.5</v>
      </c>
      <c r="AA81" s="1">
        <f t="shared" si="80"/>
        <v>1</v>
      </c>
      <c r="AB81" s="1">
        <f t="shared" si="80"/>
        <v>1</v>
      </c>
      <c r="AC81" s="1">
        <f t="shared" si="80"/>
        <v>1</v>
      </c>
      <c r="AE81" s="1">
        <f t="shared" si="91"/>
        <v>0</v>
      </c>
      <c r="AF81" s="1">
        <f t="shared" si="81"/>
        <v>0</v>
      </c>
      <c r="AG81" s="1">
        <f t="shared" si="81"/>
        <v>0.5</v>
      </c>
      <c r="AH81" s="1">
        <f t="shared" si="81"/>
        <v>0.5</v>
      </c>
      <c r="AJ81" s="1">
        <f t="shared" si="92"/>
        <v>0</v>
      </c>
      <c r="AK81" s="1">
        <f t="shared" si="82"/>
        <v>0.5</v>
      </c>
      <c r="AL81" s="1">
        <f t="shared" si="82"/>
        <v>1</v>
      </c>
      <c r="AM81" s="1">
        <f t="shared" si="82"/>
        <v>1</v>
      </c>
      <c r="AO81" s="1">
        <f t="shared" si="93"/>
        <v>0</v>
      </c>
      <c r="AP81" s="1">
        <f t="shared" si="83"/>
        <v>0</v>
      </c>
      <c r="AQ81" s="1">
        <f t="shared" si="83"/>
        <v>0.5</v>
      </c>
      <c r="AR81" s="1">
        <f t="shared" si="83"/>
        <v>0.5</v>
      </c>
      <c r="AT81" s="1">
        <f t="shared" si="94"/>
        <v>0</v>
      </c>
      <c r="AU81" s="1">
        <f t="shared" si="84"/>
        <v>0.5</v>
      </c>
      <c r="AV81" s="1">
        <f t="shared" si="84"/>
        <v>1</v>
      </c>
      <c r="AW81" s="1">
        <f t="shared" si="84"/>
        <v>1</v>
      </c>
    </row>
    <row r="82" spans="1:49" x14ac:dyDescent="0.3">
      <c r="A82" s="1">
        <f t="shared" si="85"/>
        <v>0.5</v>
      </c>
      <c r="B82" s="1">
        <f t="shared" si="75"/>
        <v>0</v>
      </c>
      <c r="C82" s="1">
        <f t="shared" si="75"/>
        <v>0</v>
      </c>
      <c r="D82" s="1">
        <f t="shared" si="75"/>
        <v>0</v>
      </c>
      <c r="F82" s="1">
        <f t="shared" si="86"/>
        <v>1</v>
      </c>
      <c r="G82" s="1">
        <f t="shared" si="86"/>
        <v>0.5</v>
      </c>
      <c r="H82" s="1">
        <f t="shared" si="86"/>
        <v>0</v>
      </c>
      <c r="I82" s="1">
        <f t="shared" si="86"/>
        <v>0</v>
      </c>
      <c r="K82" s="1">
        <f t="shared" si="87"/>
        <v>1</v>
      </c>
      <c r="L82" s="1">
        <f t="shared" si="77"/>
        <v>0.5</v>
      </c>
      <c r="M82" s="1">
        <f t="shared" si="77"/>
        <v>0</v>
      </c>
      <c r="N82" s="1">
        <f t="shared" si="77"/>
        <v>0</v>
      </c>
      <c r="P82" s="1">
        <f t="shared" si="88"/>
        <v>0</v>
      </c>
      <c r="Q82" s="1">
        <f t="shared" si="78"/>
        <v>0</v>
      </c>
      <c r="R82" s="1">
        <f t="shared" si="78"/>
        <v>0</v>
      </c>
      <c r="S82" s="1">
        <f t="shared" si="78"/>
        <v>0</v>
      </c>
      <c r="U82" s="1">
        <f t="shared" si="89"/>
        <v>1</v>
      </c>
      <c r="V82" s="1">
        <f t="shared" si="79"/>
        <v>1</v>
      </c>
      <c r="W82" s="1">
        <f t="shared" si="79"/>
        <v>0.5</v>
      </c>
      <c r="X82" s="1">
        <f t="shared" si="79"/>
        <v>1</v>
      </c>
      <c r="Z82" s="1">
        <f t="shared" si="90"/>
        <v>1</v>
      </c>
      <c r="AA82" s="1">
        <f t="shared" si="80"/>
        <v>0.5</v>
      </c>
      <c r="AB82" s="1">
        <f t="shared" si="80"/>
        <v>0</v>
      </c>
      <c r="AC82" s="1">
        <f t="shared" si="80"/>
        <v>0</v>
      </c>
      <c r="AE82" s="1">
        <f t="shared" si="91"/>
        <v>0.5</v>
      </c>
      <c r="AF82" s="1">
        <f t="shared" si="81"/>
        <v>0</v>
      </c>
      <c r="AG82" s="1">
        <f t="shared" si="81"/>
        <v>0</v>
      </c>
      <c r="AH82" s="1">
        <f t="shared" si="81"/>
        <v>0</v>
      </c>
      <c r="AJ82" s="1">
        <f t="shared" si="92"/>
        <v>1</v>
      </c>
      <c r="AK82" s="1">
        <f t="shared" si="82"/>
        <v>0</v>
      </c>
      <c r="AL82" s="1">
        <f t="shared" si="82"/>
        <v>0</v>
      </c>
      <c r="AM82" s="1">
        <f t="shared" si="82"/>
        <v>0</v>
      </c>
      <c r="AO82" s="1">
        <f t="shared" si="93"/>
        <v>0.5</v>
      </c>
      <c r="AP82" s="1">
        <f t="shared" si="83"/>
        <v>0</v>
      </c>
      <c r="AQ82" s="1">
        <f t="shared" si="83"/>
        <v>0</v>
      </c>
      <c r="AR82" s="1">
        <f t="shared" si="83"/>
        <v>0</v>
      </c>
      <c r="AT82" s="1">
        <f t="shared" si="94"/>
        <v>1</v>
      </c>
      <c r="AU82" s="1">
        <f t="shared" si="84"/>
        <v>0</v>
      </c>
      <c r="AV82" s="1">
        <f t="shared" si="84"/>
        <v>0</v>
      </c>
      <c r="AW82" s="1">
        <f t="shared" si="84"/>
        <v>0</v>
      </c>
    </row>
    <row r="83" spans="1:49" x14ac:dyDescent="0.3">
      <c r="A83" s="1">
        <f t="shared" si="85"/>
        <v>1</v>
      </c>
      <c r="B83" s="1">
        <f t="shared" si="75"/>
        <v>1</v>
      </c>
      <c r="C83" s="1">
        <f t="shared" si="75"/>
        <v>0.5</v>
      </c>
      <c r="D83" s="1">
        <f t="shared" si="75"/>
        <v>1</v>
      </c>
      <c r="F83" s="1">
        <f t="shared" si="86"/>
        <v>1</v>
      </c>
      <c r="G83" s="1">
        <f t="shared" si="86"/>
        <v>1</v>
      </c>
      <c r="H83" s="1">
        <f t="shared" si="86"/>
        <v>1</v>
      </c>
      <c r="I83" s="1">
        <f t="shared" si="86"/>
        <v>1</v>
      </c>
      <c r="K83" s="1">
        <f t="shared" si="87"/>
        <v>1</v>
      </c>
      <c r="L83" s="1">
        <f t="shared" si="77"/>
        <v>1</v>
      </c>
      <c r="M83" s="1">
        <f t="shared" si="77"/>
        <v>1</v>
      </c>
      <c r="N83" s="1">
        <f t="shared" si="77"/>
        <v>1</v>
      </c>
      <c r="P83" s="1">
        <f t="shared" si="88"/>
        <v>0.5</v>
      </c>
      <c r="Q83" s="1">
        <f t="shared" si="78"/>
        <v>0.5</v>
      </c>
      <c r="R83" s="1">
        <f t="shared" si="78"/>
        <v>0</v>
      </c>
      <c r="S83" s="1">
        <f t="shared" si="78"/>
        <v>1</v>
      </c>
      <c r="U83" s="1">
        <f t="shared" si="89"/>
        <v>1</v>
      </c>
      <c r="V83" s="1">
        <f t="shared" si="79"/>
        <v>1</v>
      </c>
      <c r="W83" s="1">
        <f t="shared" si="79"/>
        <v>1</v>
      </c>
      <c r="X83" s="1">
        <f t="shared" si="79"/>
        <v>1</v>
      </c>
      <c r="Z83" s="1">
        <f t="shared" si="90"/>
        <v>1</v>
      </c>
      <c r="AA83" s="1">
        <f t="shared" si="80"/>
        <v>1</v>
      </c>
      <c r="AB83" s="1">
        <f t="shared" si="80"/>
        <v>1</v>
      </c>
      <c r="AC83" s="1">
        <f t="shared" si="80"/>
        <v>1</v>
      </c>
      <c r="AE83" s="1">
        <f t="shared" si="91"/>
        <v>1</v>
      </c>
      <c r="AF83" s="1">
        <f t="shared" si="81"/>
        <v>1</v>
      </c>
      <c r="AG83" s="1">
        <f t="shared" si="81"/>
        <v>0.5</v>
      </c>
      <c r="AH83" s="1">
        <f t="shared" si="81"/>
        <v>1</v>
      </c>
      <c r="AJ83" s="1">
        <f t="shared" si="92"/>
        <v>1</v>
      </c>
      <c r="AK83" s="1">
        <f t="shared" si="82"/>
        <v>1</v>
      </c>
      <c r="AL83" s="1">
        <f t="shared" si="82"/>
        <v>1</v>
      </c>
      <c r="AM83" s="1">
        <f t="shared" si="82"/>
        <v>1</v>
      </c>
      <c r="AO83" s="1">
        <f t="shared" si="93"/>
        <v>1</v>
      </c>
      <c r="AP83" s="1">
        <f t="shared" si="83"/>
        <v>1</v>
      </c>
      <c r="AQ83" s="1">
        <f t="shared" si="83"/>
        <v>0.5</v>
      </c>
      <c r="AR83" s="1">
        <f t="shared" si="83"/>
        <v>1</v>
      </c>
      <c r="AT83" s="1">
        <f t="shared" si="94"/>
        <v>1</v>
      </c>
      <c r="AU83" s="1">
        <f t="shared" si="84"/>
        <v>1</v>
      </c>
      <c r="AV83" s="1">
        <f t="shared" si="84"/>
        <v>1</v>
      </c>
      <c r="AW83" s="1">
        <f t="shared" si="84"/>
        <v>1</v>
      </c>
    </row>
    <row r="84" spans="1:49" x14ac:dyDescent="0.3">
      <c r="A84" s="1">
        <f t="shared" si="85"/>
        <v>1</v>
      </c>
      <c r="B84" s="1">
        <f t="shared" si="75"/>
        <v>0</v>
      </c>
      <c r="C84" s="1">
        <f t="shared" si="75"/>
        <v>0</v>
      </c>
      <c r="D84" s="1">
        <f t="shared" si="75"/>
        <v>1</v>
      </c>
      <c r="F84" s="1">
        <f t="shared" si="86"/>
        <v>1</v>
      </c>
      <c r="G84" s="1">
        <f t="shared" si="86"/>
        <v>0.5</v>
      </c>
      <c r="H84" s="1">
        <f t="shared" si="86"/>
        <v>0.5</v>
      </c>
      <c r="I84" s="1">
        <f t="shared" si="86"/>
        <v>1</v>
      </c>
      <c r="K84" s="1">
        <f t="shared" si="87"/>
        <v>1</v>
      </c>
      <c r="L84" s="1">
        <f t="shared" si="77"/>
        <v>0.5</v>
      </c>
      <c r="M84" s="1">
        <f t="shared" si="77"/>
        <v>0.5</v>
      </c>
      <c r="N84" s="1">
        <f t="shared" si="77"/>
        <v>1</v>
      </c>
      <c r="P84" s="1">
        <f t="shared" si="88"/>
        <v>1</v>
      </c>
      <c r="Q84" s="1">
        <f t="shared" si="78"/>
        <v>0</v>
      </c>
      <c r="R84" s="1">
        <f t="shared" si="78"/>
        <v>0</v>
      </c>
      <c r="S84" s="1">
        <f t="shared" si="78"/>
        <v>1</v>
      </c>
      <c r="U84" s="1">
        <f t="shared" si="89"/>
        <v>1</v>
      </c>
      <c r="V84" s="1">
        <f t="shared" si="79"/>
        <v>1</v>
      </c>
      <c r="W84" s="1">
        <f t="shared" si="79"/>
        <v>1</v>
      </c>
      <c r="X84" s="1">
        <f t="shared" si="79"/>
        <v>1</v>
      </c>
      <c r="Z84" s="1">
        <f t="shared" si="90"/>
        <v>1</v>
      </c>
      <c r="AA84" s="1">
        <f t="shared" si="80"/>
        <v>0.5</v>
      </c>
      <c r="AB84" s="1">
        <f t="shared" si="80"/>
        <v>0.5</v>
      </c>
      <c r="AC84" s="1">
        <f t="shared" si="80"/>
        <v>1</v>
      </c>
      <c r="AE84" s="1">
        <f t="shared" si="91"/>
        <v>1</v>
      </c>
      <c r="AF84" s="1">
        <f t="shared" si="81"/>
        <v>0</v>
      </c>
      <c r="AG84" s="1">
        <f t="shared" si="81"/>
        <v>0</v>
      </c>
      <c r="AH84" s="1">
        <f t="shared" si="81"/>
        <v>1</v>
      </c>
      <c r="AJ84" s="1">
        <f t="shared" si="92"/>
        <v>1</v>
      </c>
      <c r="AK84" s="1">
        <f t="shared" si="82"/>
        <v>0</v>
      </c>
      <c r="AL84" s="1">
        <f t="shared" si="82"/>
        <v>0</v>
      </c>
      <c r="AM84" s="1">
        <f t="shared" si="82"/>
        <v>1</v>
      </c>
      <c r="AO84" s="1">
        <f t="shared" si="93"/>
        <v>1</v>
      </c>
      <c r="AP84" s="1">
        <f t="shared" si="83"/>
        <v>0</v>
      </c>
      <c r="AQ84" s="1">
        <f t="shared" si="83"/>
        <v>0</v>
      </c>
      <c r="AR84" s="1">
        <f t="shared" si="83"/>
        <v>1</v>
      </c>
      <c r="AT84" s="1">
        <f t="shared" si="94"/>
        <v>1</v>
      </c>
      <c r="AU84" s="1">
        <f t="shared" si="84"/>
        <v>0</v>
      </c>
      <c r="AV84" s="1">
        <f t="shared" si="84"/>
        <v>0</v>
      </c>
      <c r="AW84" s="1">
        <f t="shared" si="84"/>
        <v>1</v>
      </c>
    </row>
    <row r="86" spans="1:49" x14ac:dyDescent="0.3">
      <c r="B86" s="27" t="s">
        <v>95</v>
      </c>
      <c r="F86" s="27" t="s">
        <v>99</v>
      </c>
      <c r="J86" s="27" t="s">
        <v>100</v>
      </c>
      <c r="N86" s="27" t="s">
        <v>101</v>
      </c>
      <c r="R86" s="27" t="s">
        <v>102</v>
      </c>
      <c r="V86" s="27" t="s">
        <v>103</v>
      </c>
      <c r="Z86" s="27" t="s">
        <v>104</v>
      </c>
      <c r="AD86" s="27" t="s">
        <v>105</v>
      </c>
      <c r="AH86" s="27" t="s">
        <v>106</v>
      </c>
      <c r="AL86" s="27" t="s">
        <v>107</v>
      </c>
    </row>
    <row r="87" spans="1:49" x14ac:dyDescent="0.3">
      <c r="A87" s="26" t="s">
        <v>96</v>
      </c>
      <c r="B87" s="26" t="s">
        <v>97</v>
      </c>
      <c r="C87" s="26" t="s">
        <v>98</v>
      </c>
      <c r="E87" s="26" t="s">
        <v>96</v>
      </c>
      <c r="F87" s="26" t="s">
        <v>97</v>
      </c>
      <c r="G87" s="26" t="s">
        <v>98</v>
      </c>
      <c r="I87" s="26" t="s">
        <v>96</v>
      </c>
      <c r="J87" s="26" t="s">
        <v>97</v>
      </c>
      <c r="K87" s="26" t="s">
        <v>98</v>
      </c>
      <c r="M87" s="26" t="s">
        <v>96</v>
      </c>
      <c r="N87" s="26" t="s">
        <v>97</v>
      </c>
      <c r="O87" s="26" t="s">
        <v>98</v>
      </c>
      <c r="Q87" s="26" t="s">
        <v>96</v>
      </c>
      <c r="R87" s="26" t="s">
        <v>97</v>
      </c>
      <c r="S87" s="26" t="s">
        <v>98</v>
      </c>
      <c r="U87" s="26" t="s">
        <v>96</v>
      </c>
      <c r="V87" s="26" t="s">
        <v>97</v>
      </c>
      <c r="W87" s="26" t="s">
        <v>98</v>
      </c>
      <c r="Y87" s="26" t="s">
        <v>96</v>
      </c>
      <c r="Z87" s="26" t="s">
        <v>97</v>
      </c>
      <c r="AA87" s="26" t="s">
        <v>98</v>
      </c>
      <c r="AC87" s="26" t="s">
        <v>96</v>
      </c>
      <c r="AD87" s="26" t="s">
        <v>97</v>
      </c>
      <c r="AE87" s="26" t="s">
        <v>98</v>
      </c>
      <c r="AG87" s="26" t="s">
        <v>96</v>
      </c>
      <c r="AH87" s="26" t="s">
        <v>97</v>
      </c>
      <c r="AI87" s="26" t="s">
        <v>98</v>
      </c>
      <c r="AK87" s="26" t="s">
        <v>96</v>
      </c>
      <c r="AL87" s="26" t="s">
        <v>97</v>
      </c>
      <c r="AM87" s="26" t="s">
        <v>98</v>
      </c>
    </row>
    <row r="88" spans="1:49" x14ac:dyDescent="0.3">
      <c r="A88" s="1">
        <f>IF($E$6&gt;F6,0,IF($E$6=F6,0.5,IF($E$6&lt;F6,1)))</f>
        <v>0.5</v>
      </c>
      <c r="B88" s="1">
        <f t="shared" ref="B88:C97" si="95">IF($E$6&gt;G6,0,IF($E$6=G6,0.5,IF($E$6&lt;G6,1)))</f>
        <v>1</v>
      </c>
      <c r="C88" s="1">
        <f t="shared" si="95"/>
        <v>1</v>
      </c>
      <c r="E88" s="1">
        <f>IF($E$7&gt;F6,0,IF($E$7=F6,0.5,IF($E$7&lt;F6,1)))</f>
        <v>1</v>
      </c>
      <c r="F88" s="1">
        <f t="shared" ref="F88:G88" si="96">IF($E$7&gt;G6,0,IF($E$7=G6,0.5,IF($E$7&lt;G6,1)))</f>
        <v>1</v>
      </c>
      <c r="G88" s="1">
        <f t="shared" si="96"/>
        <v>1</v>
      </c>
      <c r="I88" s="1">
        <f>IF($E$8&gt;F6,0,IF($E$8=F6,0.5,IF($E$8&lt;F6,1)))</f>
        <v>1</v>
      </c>
      <c r="J88" s="1">
        <f t="shared" ref="J88:K97" si="97">IF($E$8&gt;G6,0,IF($E$8=G6,0.5,IF($E$8&lt;G6,1)))</f>
        <v>1</v>
      </c>
      <c r="K88" s="1">
        <f t="shared" si="97"/>
        <v>1</v>
      </c>
      <c r="M88" s="1">
        <f>IF($E$9&gt;F6,0,IF($E$9=F6,0.5,IF($E$9&lt;F6,1)))</f>
        <v>0</v>
      </c>
      <c r="N88" s="1">
        <f t="shared" ref="N88:O97" si="98">IF($E$9&gt;G6,0,IF($E$9=G6,0.5,IF($E$9&lt;G6,1)))</f>
        <v>1</v>
      </c>
      <c r="O88" s="1">
        <f t="shared" si="98"/>
        <v>0</v>
      </c>
      <c r="Q88" s="1">
        <f>IF($E$10&gt;F6,0,IF($E$10=F6,0.5,IF($E$10&lt;F6,1)))</f>
        <v>1</v>
      </c>
      <c r="R88" s="1">
        <f t="shared" ref="R88:S97" si="99">IF($E$10&gt;G6,0,IF($E$10=G6,0.5,IF($E$10&lt;G6,1)))</f>
        <v>1</v>
      </c>
      <c r="S88" s="1">
        <f t="shared" si="99"/>
        <v>1</v>
      </c>
      <c r="U88" s="1">
        <f>IF($E$11&gt;F6,0,IF($E$11=F6,0.5,IF($E$11&lt;F6,1)))</f>
        <v>0.5</v>
      </c>
      <c r="V88" s="1">
        <f t="shared" ref="V88:W97" si="100">IF($E$11&gt;G6,0,IF($E$11=G6,0.5,IF($E$11&lt;G6,1)))</f>
        <v>1</v>
      </c>
      <c r="W88" s="1">
        <f t="shared" si="100"/>
        <v>1</v>
      </c>
      <c r="Y88" s="1">
        <f>IF($E$12&gt;F6,0,IF($E$12=F6,0.5,IF($E$12&lt;F6,1)))</f>
        <v>1</v>
      </c>
      <c r="Z88" s="1">
        <f t="shared" ref="Z88:AA97" si="101">IF($E$12&gt;G6,0,IF($E$12=G6,0.5,IF($E$12&lt;G6,1)))</f>
        <v>1</v>
      </c>
      <c r="AA88" s="1">
        <f t="shared" si="101"/>
        <v>1</v>
      </c>
      <c r="AC88" s="1">
        <f>IF($E$13&gt;F6,0,IF($E$13=F6,0.5,IF($E$13&lt;F6,1)))</f>
        <v>0.5</v>
      </c>
      <c r="AD88" s="1">
        <f t="shared" ref="AD88:AE97" si="102">IF($E$13&gt;G6,0,IF($E$13=G6,0.5,IF($E$13&lt;G6,1)))</f>
        <v>1</v>
      </c>
      <c r="AE88" s="1">
        <f t="shared" si="102"/>
        <v>1</v>
      </c>
      <c r="AG88" s="1">
        <f>IF($E$14&gt;F6,0,IF($E$14=F6,0.5,IF($E$14&lt;F6,1)))</f>
        <v>0</v>
      </c>
      <c r="AH88" s="1">
        <f t="shared" ref="AH88:AI97" si="103">IF($E$14&gt;G6,0,IF($E$14=G6,0.5,IF($E$14&lt;G6,1)))</f>
        <v>1</v>
      </c>
      <c r="AI88" s="1">
        <f t="shared" si="103"/>
        <v>0.5</v>
      </c>
      <c r="AK88" s="1">
        <f>IF($E$15&gt;F6,0,IF($E$15=F6,0.5,IF($E$15&lt;F6,1)))</f>
        <v>0</v>
      </c>
      <c r="AL88" s="1">
        <f t="shared" ref="AL88:AM97" si="104">IF($E$15&gt;G6,0,IF($E$15=G6,0.5,IF($E$15&lt;G6,1)))</f>
        <v>1</v>
      </c>
      <c r="AM88" s="1">
        <f t="shared" si="104"/>
        <v>0</v>
      </c>
    </row>
    <row r="89" spans="1:49" x14ac:dyDescent="0.3">
      <c r="A89" s="1">
        <f t="shared" ref="A89:A97" si="105">IF($E$6&gt;F7,0,IF($E$6=F7,0.5,IF($E$6&lt;F7,1)))</f>
        <v>1</v>
      </c>
      <c r="B89" s="1">
        <f t="shared" si="95"/>
        <v>0</v>
      </c>
      <c r="C89" s="1">
        <f t="shared" si="95"/>
        <v>0.5</v>
      </c>
      <c r="E89" s="1">
        <f t="shared" ref="E89:G97" si="106">IF($E$7&gt;F7,0,IF($E$7=F7,0.5,IF($E$7&lt;F7,1)))</f>
        <v>1</v>
      </c>
      <c r="F89" s="1">
        <f t="shared" si="106"/>
        <v>0</v>
      </c>
      <c r="G89" s="1">
        <f t="shared" si="106"/>
        <v>1</v>
      </c>
      <c r="I89" s="1">
        <f t="shared" ref="I89:I97" si="107">IF($E$8&gt;F7,0,IF($E$8=F7,0.5,IF($E$8&lt;F7,1)))</f>
        <v>1</v>
      </c>
      <c r="J89" s="1">
        <f t="shared" si="97"/>
        <v>0</v>
      </c>
      <c r="K89" s="1">
        <f t="shared" si="97"/>
        <v>1</v>
      </c>
      <c r="M89" s="1">
        <f t="shared" ref="M89:M97" si="108">IF($E$9&gt;F7,0,IF($E$9=F7,0.5,IF($E$9&lt;F7,1)))</f>
        <v>0</v>
      </c>
      <c r="N89" s="1">
        <f t="shared" si="98"/>
        <v>0</v>
      </c>
      <c r="O89" s="1">
        <f t="shared" si="98"/>
        <v>0</v>
      </c>
      <c r="Q89" s="1">
        <f t="shared" ref="Q89:Q97" si="109">IF($E$10&gt;F7,0,IF($E$10=F7,0.5,IF($E$10&lt;F7,1)))</f>
        <v>1</v>
      </c>
      <c r="R89" s="1">
        <f t="shared" si="99"/>
        <v>0</v>
      </c>
      <c r="S89" s="1">
        <f t="shared" si="99"/>
        <v>1</v>
      </c>
      <c r="U89" s="1">
        <f t="shared" ref="U89:U97" si="110">IF($E$11&gt;F7,0,IF($E$11=F7,0.5,IF($E$11&lt;F7,1)))</f>
        <v>1</v>
      </c>
      <c r="V89" s="1">
        <f t="shared" si="100"/>
        <v>0</v>
      </c>
      <c r="W89" s="1">
        <f t="shared" si="100"/>
        <v>0.5</v>
      </c>
      <c r="Y89" s="1">
        <f t="shared" ref="Y89:Y97" si="111">IF($E$12&gt;F7,0,IF($E$12=F7,0.5,IF($E$12&lt;F7,1)))</f>
        <v>1</v>
      </c>
      <c r="Z89" s="1">
        <f t="shared" si="101"/>
        <v>0</v>
      </c>
      <c r="AA89" s="1">
        <f t="shared" si="101"/>
        <v>1</v>
      </c>
      <c r="AC89" s="1">
        <f t="shared" ref="AC89:AC97" si="112">IF($E$13&gt;F7,0,IF($E$13=F7,0.5,IF($E$13&lt;F7,1)))</f>
        <v>1</v>
      </c>
      <c r="AD89" s="1">
        <f t="shared" si="102"/>
        <v>0</v>
      </c>
      <c r="AE89" s="1">
        <f t="shared" si="102"/>
        <v>0.5</v>
      </c>
      <c r="AG89" s="1">
        <f t="shared" ref="AG89:AG97" si="113">IF($E$14&gt;F7,0,IF($E$14=F7,0.5,IF($E$14&lt;F7,1)))</f>
        <v>0.5</v>
      </c>
      <c r="AH89" s="1">
        <f t="shared" si="103"/>
        <v>0</v>
      </c>
      <c r="AI89" s="1">
        <f t="shared" si="103"/>
        <v>0</v>
      </c>
      <c r="AK89" s="1">
        <f t="shared" ref="AK89:AK97" si="114">IF($E$15&gt;F7,0,IF($E$15=F7,0.5,IF($E$15&lt;F7,1)))</f>
        <v>0</v>
      </c>
      <c r="AL89" s="1">
        <f t="shared" si="104"/>
        <v>0</v>
      </c>
      <c r="AM89" s="1">
        <f t="shared" si="104"/>
        <v>0</v>
      </c>
    </row>
    <row r="90" spans="1:49" x14ac:dyDescent="0.3">
      <c r="A90" s="1">
        <f t="shared" si="105"/>
        <v>0</v>
      </c>
      <c r="B90" s="1">
        <f t="shared" si="95"/>
        <v>0</v>
      </c>
      <c r="C90" s="1">
        <f t="shared" si="95"/>
        <v>1</v>
      </c>
      <c r="E90" s="1">
        <f t="shared" si="106"/>
        <v>0</v>
      </c>
      <c r="F90" s="1">
        <f t="shared" si="106"/>
        <v>0</v>
      </c>
      <c r="G90" s="1">
        <f t="shared" si="106"/>
        <v>1</v>
      </c>
      <c r="I90" s="1">
        <f t="shared" si="107"/>
        <v>0</v>
      </c>
      <c r="J90" s="1">
        <f t="shared" si="97"/>
        <v>0</v>
      </c>
      <c r="K90" s="1">
        <f t="shared" si="97"/>
        <v>1</v>
      </c>
      <c r="M90" s="1">
        <f t="shared" si="108"/>
        <v>0</v>
      </c>
      <c r="N90" s="1">
        <f t="shared" si="98"/>
        <v>0</v>
      </c>
      <c r="O90" s="1">
        <f t="shared" si="98"/>
        <v>0</v>
      </c>
      <c r="Q90" s="1">
        <f t="shared" si="109"/>
        <v>0.5</v>
      </c>
      <c r="R90" s="1">
        <f t="shared" si="99"/>
        <v>0.5</v>
      </c>
      <c r="S90" s="1">
        <f t="shared" si="99"/>
        <v>1</v>
      </c>
      <c r="U90" s="1">
        <f t="shared" si="110"/>
        <v>0</v>
      </c>
      <c r="V90" s="1">
        <f t="shared" si="100"/>
        <v>0</v>
      </c>
      <c r="W90" s="1">
        <f t="shared" si="100"/>
        <v>1</v>
      </c>
      <c r="Y90" s="1">
        <f t="shared" si="111"/>
        <v>0.5</v>
      </c>
      <c r="Z90" s="1">
        <f t="shared" si="101"/>
        <v>0.5</v>
      </c>
      <c r="AA90" s="1">
        <f t="shared" si="101"/>
        <v>1</v>
      </c>
      <c r="AC90" s="1">
        <f t="shared" si="112"/>
        <v>0</v>
      </c>
      <c r="AD90" s="1">
        <f t="shared" si="102"/>
        <v>0</v>
      </c>
      <c r="AE90" s="1">
        <f t="shared" si="102"/>
        <v>1</v>
      </c>
      <c r="AG90" s="1">
        <f t="shared" si="113"/>
        <v>0</v>
      </c>
      <c r="AH90" s="1">
        <f t="shared" si="103"/>
        <v>0</v>
      </c>
      <c r="AI90" s="1">
        <f t="shared" si="103"/>
        <v>1</v>
      </c>
      <c r="AK90" s="1">
        <f t="shared" si="114"/>
        <v>0</v>
      </c>
      <c r="AL90" s="1">
        <f t="shared" si="104"/>
        <v>0</v>
      </c>
      <c r="AM90" s="1">
        <f t="shared" si="104"/>
        <v>0.5</v>
      </c>
    </row>
    <row r="91" spans="1:49" x14ac:dyDescent="0.3">
      <c r="A91" s="1">
        <f t="shared" si="105"/>
        <v>0</v>
      </c>
      <c r="B91" s="1">
        <f t="shared" si="95"/>
        <v>0</v>
      </c>
      <c r="C91" s="1">
        <f t="shared" si="95"/>
        <v>0</v>
      </c>
      <c r="E91" s="1">
        <f t="shared" si="106"/>
        <v>0.5</v>
      </c>
      <c r="F91" s="1">
        <f t="shared" si="106"/>
        <v>0</v>
      </c>
      <c r="G91" s="1">
        <f t="shared" si="106"/>
        <v>0.5</v>
      </c>
      <c r="I91" s="1">
        <f t="shared" si="107"/>
        <v>0.5</v>
      </c>
      <c r="J91" s="1">
        <f t="shared" si="97"/>
        <v>0</v>
      </c>
      <c r="K91" s="1">
        <f t="shared" si="97"/>
        <v>0.5</v>
      </c>
      <c r="M91" s="1">
        <f t="shared" si="108"/>
        <v>0</v>
      </c>
      <c r="N91" s="1">
        <f t="shared" si="98"/>
        <v>0</v>
      </c>
      <c r="O91" s="1">
        <f t="shared" si="98"/>
        <v>0</v>
      </c>
      <c r="Q91" s="1">
        <f t="shared" si="109"/>
        <v>1</v>
      </c>
      <c r="R91" s="1">
        <f t="shared" si="99"/>
        <v>0.5</v>
      </c>
      <c r="S91" s="1">
        <f t="shared" si="99"/>
        <v>1</v>
      </c>
      <c r="U91" s="1">
        <f t="shared" si="110"/>
        <v>0</v>
      </c>
      <c r="V91" s="1">
        <f t="shared" si="100"/>
        <v>0</v>
      </c>
      <c r="W91" s="1">
        <f t="shared" si="100"/>
        <v>0</v>
      </c>
      <c r="Y91" s="1">
        <f t="shared" si="111"/>
        <v>1</v>
      </c>
      <c r="Z91" s="1">
        <f t="shared" si="101"/>
        <v>0.5</v>
      </c>
      <c r="AA91" s="1">
        <f t="shared" si="101"/>
        <v>1</v>
      </c>
      <c r="AC91" s="1">
        <f t="shared" si="112"/>
        <v>0</v>
      </c>
      <c r="AD91" s="1">
        <f t="shared" si="102"/>
        <v>0</v>
      </c>
      <c r="AE91" s="1">
        <f t="shared" si="102"/>
        <v>0</v>
      </c>
      <c r="AG91" s="1">
        <f t="shared" si="113"/>
        <v>0</v>
      </c>
      <c r="AH91" s="1">
        <f t="shared" si="103"/>
        <v>0</v>
      </c>
      <c r="AI91" s="1">
        <f t="shared" si="103"/>
        <v>0</v>
      </c>
      <c r="AK91" s="1">
        <f t="shared" si="114"/>
        <v>0</v>
      </c>
      <c r="AL91" s="1">
        <f t="shared" si="104"/>
        <v>0</v>
      </c>
      <c r="AM91" s="1">
        <f t="shared" si="104"/>
        <v>0</v>
      </c>
    </row>
    <row r="92" spans="1:49" x14ac:dyDescent="0.3">
      <c r="A92" s="1">
        <f t="shared" si="105"/>
        <v>0.5</v>
      </c>
      <c r="B92" s="1">
        <f t="shared" si="95"/>
        <v>0.5</v>
      </c>
      <c r="C92" s="1">
        <f t="shared" si="95"/>
        <v>1</v>
      </c>
      <c r="E92" s="1">
        <f t="shared" si="106"/>
        <v>1</v>
      </c>
      <c r="F92" s="1">
        <f t="shared" si="106"/>
        <v>1</v>
      </c>
      <c r="G92" s="1">
        <f t="shared" si="106"/>
        <v>1</v>
      </c>
      <c r="I92" s="1">
        <f t="shared" si="107"/>
        <v>1</v>
      </c>
      <c r="J92" s="1">
        <f t="shared" si="97"/>
        <v>1</v>
      </c>
      <c r="K92" s="1">
        <f t="shared" si="97"/>
        <v>1</v>
      </c>
      <c r="M92" s="1">
        <f t="shared" si="108"/>
        <v>0</v>
      </c>
      <c r="N92" s="1">
        <f t="shared" si="98"/>
        <v>0</v>
      </c>
      <c r="O92" s="1">
        <f t="shared" si="98"/>
        <v>0.5</v>
      </c>
      <c r="Q92" s="1">
        <f t="shared" si="109"/>
        <v>1</v>
      </c>
      <c r="R92" s="1">
        <f t="shared" si="99"/>
        <v>1</v>
      </c>
      <c r="S92" s="1">
        <f t="shared" si="99"/>
        <v>1</v>
      </c>
      <c r="U92" s="1">
        <f t="shared" si="110"/>
        <v>0.5</v>
      </c>
      <c r="V92" s="1">
        <f t="shared" si="100"/>
        <v>0.5</v>
      </c>
      <c r="W92" s="1">
        <f t="shared" si="100"/>
        <v>1</v>
      </c>
      <c r="Y92" s="1">
        <f t="shared" si="111"/>
        <v>1</v>
      </c>
      <c r="Z92" s="1">
        <f t="shared" si="101"/>
        <v>1</v>
      </c>
      <c r="AA92" s="1">
        <f t="shared" si="101"/>
        <v>1</v>
      </c>
      <c r="AC92" s="1">
        <f t="shared" si="112"/>
        <v>0.5</v>
      </c>
      <c r="AD92" s="1">
        <f t="shared" si="102"/>
        <v>0.5</v>
      </c>
      <c r="AE92" s="1">
        <f t="shared" si="102"/>
        <v>1</v>
      </c>
      <c r="AG92" s="1">
        <f t="shared" si="113"/>
        <v>0</v>
      </c>
      <c r="AH92" s="1">
        <f t="shared" si="103"/>
        <v>0</v>
      </c>
      <c r="AI92" s="1">
        <f t="shared" si="103"/>
        <v>1</v>
      </c>
      <c r="AK92" s="1">
        <f t="shared" si="114"/>
        <v>0</v>
      </c>
      <c r="AL92" s="1">
        <f t="shared" si="104"/>
        <v>0</v>
      </c>
      <c r="AM92" s="1">
        <f t="shared" si="104"/>
        <v>1</v>
      </c>
    </row>
    <row r="93" spans="1:49" x14ac:dyDescent="0.3">
      <c r="A93" s="1">
        <f t="shared" si="105"/>
        <v>1</v>
      </c>
      <c r="B93" s="1">
        <f t="shared" si="95"/>
        <v>0.5</v>
      </c>
      <c r="C93" s="1">
        <f t="shared" si="95"/>
        <v>1</v>
      </c>
      <c r="E93" s="1">
        <f t="shared" si="106"/>
        <v>1</v>
      </c>
      <c r="F93" s="1">
        <f t="shared" si="106"/>
        <v>1</v>
      </c>
      <c r="G93" s="1">
        <f t="shared" si="106"/>
        <v>1</v>
      </c>
      <c r="I93" s="1">
        <f t="shared" si="107"/>
        <v>1</v>
      </c>
      <c r="J93" s="1">
        <f t="shared" si="97"/>
        <v>1</v>
      </c>
      <c r="K93" s="1">
        <f t="shared" si="97"/>
        <v>1</v>
      </c>
      <c r="M93" s="1">
        <f t="shared" si="108"/>
        <v>1</v>
      </c>
      <c r="N93" s="1">
        <f t="shared" si="98"/>
        <v>0</v>
      </c>
      <c r="O93" s="1">
        <f t="shared" si="98"/>
        <v>0.5</v>
      </c>
      <c r="Q93" s="1">
        <f t="shared" si="109"/>
        <v>1</v>
      </c>
      <c r="R93" s="1">
        <f t="shared" si="99"/>
        <v>1</v>
      </c>
      <c r="S93" s="1">
        <f t="shared" si="99"/>
        <v>1</v>
      </c>
      <c r="U93" s="1">
        <f t="shared" si="110"/>
        <v>1</v>
      </c>
      <c r="V93" s="1">
        <f t="shared" si="100"/>
        <v>0.5</v>
      </c>
      <c r="W93" s="1">
        <f t="shared" si="100"/>
        <v>1</v>
      </c>
      <c r="Y93" s="1">
        <f t="shared" si="111"/>
        <v>1</v>
      </c>
      <c r="Z93" s="1">
        <f t="shared" si="101"/>
        <v>1</v>
      </c>
      <c r="AA93" s="1">
        <f t="shared" si="101"/>
        <v>1</v>
      </c>
      <c r="AC93" s="1">
        <f t="shared" si="112"/>
        <v>1</v>
      </c>
      <c r="AD93" s="1">
        <f t="shared" si="102"/>
        <v>0.5</v>
      </c>
      <c r="AE93" s="1">
        <f t="shared" si="102"/>
        <v>1</v>
      </c>
      <c r="AG93" s="1">
        <f t="shared" si="113"/>
        <v>1</v>
      </c>
      <c r="AH93" s="1">
        <f t="shared" si="103"/>
        <v>0</v>
      </c>
      <c r="AI93" s="1">
        <f t="shared" si="103"/>
        <v>1</v>
      </c>
      <c r="AK93" s="1">
        <f t="shared" si="114"/>
        <v>1</v>
      </c>
      <c r="AL93" s="1">
        <f t="shared" si="104"/>
        <v>0</v>
      </c>
      <c r="AM93" s="1">
        <f t="shared" si="104"/>
        <v>1</v>
      </c>
    </row>
    <row r="94" spans="1:49" x14ac:dyDescent="0.3">
      <c r="A94" s="1">
        <f t="shared" si="105"/>
        <v>0</v>
      </c>
      <c r="B94" s="1">
        <f t="shared" si="95"/>
        <v>0.5</v>
      </c>
      <c r="C94" s="1">
        <f t="shared" si="95"/>
        <v>0.5</v>
      </c>
      <c r="E94" s="1">
        <f t="shared" si="106"/>
        <v>0.5</v>
      </c>
      <c r="F94" s="1">
        <f t="shared" si="106"/>
        <v>1</v>
      </c>
      <c r="G94" s="1">
        <f t="shared" si="106"/>
        <v>1</v>
      </c>
      <c r="I94" s="1">
        <f t="shared" si="107"/>
        <v>0.5</v>
      </c>
      <c r="J94" s="1">
        <f t="shared" si="97"/>
        <v>1</v>
      </c>
      <c r="K94" s="1">
        <f t="shared" si="97"/>
        <v>1</v>
      </c>
      <c r="M94" s="1">
        <f t="shared" si="108"/>
        <v>0</v>
      </c>
      <c r="N94" s="1">
        <f t="shared" si="98"/>
        <v>0</v>
      </c>
      <c r="O94" s="1">
        <f t="shared" si="98"/>
        <v>0</v>
      </c>
      <c r="Q94" s="1">
        <f t="shared" si="109"/>
        <v>1</v>
      </c>
      <c r="R94" s="1">
        <f t="shared" si="99"/>
        <v>1</v>
      </c>
      <c r="S94" s="1">
        <f t="shared" si="99"/>
        <v>1</v>
      </c>
      <c r="U94" s="1">
        <f t="shared" si="110"/>
        <v>0</v>
      </c>
      <c r="V94" s="1">
        <f t="shared" si="100"/>
        <v>0.5</v>
      </c>
      <c r="W94" s="1">
        <f t="shared" si="100"/>
        <v>0.5</v>
      </c>
      <c r="Y94" s="1">
        <f t="shared" si="111"/>
        <v>1</v>
      </c>
      <c r="Z94" s="1">
        <f t="shared" si="101"/>
        <v>1</v>
      </c>
      <c r="AA94" s="1">
        <f t="shared" si="101"/>
        <v>1</v>
      </c>
      <c r="AC94" s="1">
        <f t="shared" si="112"/>
        <v>0</v>
      </c>
      <c r="AD94" s="1">
        <f t="shared" si="102"/>
        <v>0.5</v>
      </c>
      <c r="AE94" s="1">
        <f t="shared" si="102"/>
        <v>0.5</v>
      </c>
      <c r="AG94" s="1">
        <f t="shared" si="113"/>
        <v>0</v>
      </c>
      <c r="AH94" s="1">
        <f t="shared" si="103"/>
        <v>0</v>
      </c>
      <c r="AI94" s="1">
        <f t="shared" si="103"/>
        <v>0</v>
      </c>
      <c r="AK94" s="1">
        <f t="shared" si="114"/>
        <v>0</v>
      </c>
      <c r="AL94" s="1">
        <f t="shared" si="104"/>
        <v>0</v>
      </c>
      <c r="AM94" s="1">
        <f t="shared" si="104"/>
        <v>0</v>
      </c>
    </row>
    <row r="95" spans="1:49" x14ac:dyDescent="0.3">
      <c r="A95" s="1">
        <f t="shared" si="105"/>
        <v>0</v>
      </c>
      <c r="B95" s="1">
        <f t="shared" si="95"/>
        <v>0</v>
      </c>
      <c r="C95" s="1">
        <f t="shared" si="95"/>
        <v>0</v>
      </c>
      <c r="E95" s="1">
        <f t="shared" si="106"/>
        <v>0</v>
      </c>
      <c r="F95" s="1">
        <f t="shared" si="106"/>
        <v>0</v>
      </c>
      <c r="G95" s="1">
        <f t="shared" si="106"/>
        <v>0</v>
      </c>
      <c r="I95" s="1">
        <f t="shared" si="107"/>
        <v>0</v>
      </c>
      <c r="J95" s="1">
        <f t="shared" si="97"/>
        <v>0</v>
      </c>
      <c r="K95" s="1">
        <f t="shared" si="97"/>
        <v>0</v>
      </c>
      <c r="M95" s="1">
        <f t="shared" si="108"/>
        <v>0</v>
      </c>
      <c r="N95" s="1">
        <f t="shared" si="98"/>
        <v>0</v>
      </c>
      <c r="O95" s="1">
        <f t="shared" si="98"/>
        <v>0</v>
      </c>
      <c r="Q95" s="1">
        <f t="shared" si="109"/>
        <v>0.5</v>
      </c>
      <c r="R95" s="1">
        <f t="shared" si="99"/>
        <v>0</v>
      </c>
      <c r="S95" s="1">
        <f t="shared" si="99"/>
        <v>0</v>
      </c>
      <c r="U95" s="1">
        <f t="shared" si="110"/>
        <v>0</v>
      </c>
      <c r="V95" s="1">
        <f t="shared" si="100"/>
        <v>0</v>
      </c>
      <c r="W95" s="1">
        <f t="shared" si="100"/>
        <v>0</v>
      </c>
      <c r="Y95" s="1">
        <f t="shared" si="111"/>
        <v>0.5</v>
      </c>
      <c r="Z95" s="1">
        <f t="shared" si="101"/>
        <v>0</v>
      </c>
      <c r="AA95" s="1">
        <f t="shared" si="101"/>
        <v>0</v>
      </c>
      <c r="AC95" s="1">
        <f t="shared" si="112"/>
        <v>0</v>
      </c>
      <c r="AD95" s="1">
        <f t="shared" si="102"/>
        <v>0</v>
      </c>
      <c r="AE95" s="1">
        <f t="shared" si="102"/>
        <v>0</v>
      </c>
      <c r="AG95" s="1">
        <f t="shared" si="113"/>
        <v>0</v>
      </c>
      <c r="AH95" s="1">
        <f t="shared" si="103"/>
        <v>0</v>
      </c>
      <c r="AI95" s="1">
        <f t="shared" si="103"/>
        <v>0</v>
      </c>
      <c r="AK95" s="1">
        <f t="shared" si="114"/>
        <v>0</v>
      </c>
      <c r="AL95" s="1">
        <f t="shared" si="104"/>
        <v>0</v>
      </c>
      <c r="AM95" s="1">
        <f t="shared" si="104"/>
        <v>0</v>
      </c>
    </row>
    <row r="96" spans="1:49" x14ac:dyDescent="0.3">
      <c r="A96" s="1">
        <f t="shared" si="105"/>
        <v>1</v>
      </c>
      <c r="B96" s="1">
        <f t="shared" si="95"/>
        <v>0.5</v>
      </c>
      <c r="C96" s="1">
        <f t="shared" si="95"/>
        <v>1</v>
      </c>
      <c r="E96" s="1">
        <f t="shared" si="106"/>
        <v>1</v>
      </c>
      <c r="F96" s="1">
        <f t="shared" si="106"/>
        <v>1</v>
      </c>
      <c r="G96" s="1">
        <f t="shared" si="106"/>
        <v>1</v>
      </c>
      <c r="I96" s="1">
        <f t="shared" si="107"/>
        <v>1</v>
      </c>
      <c r="J96" s="1">
        <f t="shared" si="97"/>
        <v>1</v>
      </c>
      <c r="K96" s="1">
        <f t="shared" si="97"/>
        <v>1</v>
      </c>
      <c r="M96" s="1">
        <f t="shared" si="108"/>
        <v>0</v>
      </c>
      <c r="N96" s="1">
        <f t="shared" si="98"/>
        <v>0</v>
      </c>
      <c r="O96" s="1">
        <f t="shared" si="98"/>
        <v>0</v>
      </c>
      <c r="Q96" s="1">
        <f t="shared" si="109"/>
        <v>1</v>
      </c>
      <c r="R96" s="1">
        <f t="shared" si="99"/>
        <v>1</v>
      </c>
      <c r="S96" s="1">
        <f t="shared" si="99"/>
        <v>1</v>
      </c>
      <c r="U96" s="1">
        <f t="shared" si="110"/>
        <v>1</v>
      </c>
      <c r="V96" s="1">
        <f t="shared" si="100"/>
        <v>0.5</v>
      </c>
      <c r="W96" s="1">
        <f t="shared" si="100"/>
        <v>1</v>
      </c>
      <c r="Y96" s="1">
        <f t="shared" si="111"/>
        <v>1</v>
      </c>
      <c r="Z96" s="1">
        <f t="shared" si="101"/>
        <v>1</v>
      </c>
      <c r="AA96" s="1">
        <f t="shared" si="101"/>
        <v>1</v>
      </c>
      <c r="AC96" s="1">
        <f t="shared" si="112"/>
        <v>1</v>
      </c>
      <c r="AD96" s="1">
        <f t="shared" si="102"/>
        <v>0.5</v>
      </c>
      <c r="AE96" s="1">
        <f t="shared" si="102"/>
        <v>1</v>
      </c>
      <c r="AG96" s="1">
        <f t="shared" si="113"/>
        <v>0.5</v>
      </c>
      <c r="AH96" s="1">
        <f t="shared" si="103"/>
        <v>0</v>
      </c>
      <c r="AI96" s="1">
        <f t="shared" si="103"/>
        <v>1</v>
      </c>
      <c r="AK96" s="1">
        <f t="shared" si="114"/>
        <v>0</v>
      </c>
      <c r="AL96" s="1">
        <f t="shared" si="104"/>
        <v>0</v>
      </c>
      <c r="AM96" s="1">
        <f t="shared" si="104"/>
        <v>0.5</v>
      </c>
    </row>
    <row r="97" spans="1:39" x14ac:dyDescent="0.3">
      <c r="A97" s="1">
        <f t="shared" si="105"/>
        <v>0</v>
      </c>
      <c r="B97" s="1">
        <f t="shared" si="95"/>
        <v>0</v>
      </c>
      <c r="C97" s="1">
        <f t="shared" si="95"/>
        <v>1</v>
      </c>
      <c r="E97" s="1">
        <f t="shared" si="106"/>
        <v>0</v>
      </c>
      <c r="F97" s="1">
        <f t="shared" si="106"/>
        <v>0</v>
      </c>
      <c r="G97" s="1">
        <f t="shared" si="106"/>
        <v>1</v>
      </c>
      <c r="I97" s="1">
        <f t="shared" si="107"/>
        <v>0</v>
      </c>
      <c r="J97" s="1">
        <f t="shared" si="97"/>
        <v>0</v>
      </c>
      <c r="K97" s="1">
        <f t="shared" si="97"/>
        <v>1</v>
      </c>
      <c r="M97" s="1">
        <f t="shared" si="108"/>
        <v>0</v>
      </c>
      <c r="N97" s="1">
        <f t="shared" si="98"/>
        <v>0</v>
      </c>
      <c r="O97" s="1">
        <f t="shared" si="98"/>
        <v>0.5</v>
      </c>
      <c r="Q97" s="1">
        <f t="shared" si="109"/>
        <v>0.5</v>
      </c>
      <c r="R97" s="1">
        <f t="shared" si="99"/>
        <v>0.5</v>
      </c>
      <c r="S97" s="1">
        <f t="shared" si="99"/>
        <v>1</v>
      </c>
      <c r="U97" s="1">
        <f t="shared" si="110"/>
        <v>0</v>
      </c>
      <c r="V97" s="1">
        <f t="shared" si="100"/>
        <v>0</v>
      </c>
      <c r="W97" s="1">
        <f t="shared" si="100"/>
        <v>1</v>
      </c>
      <c r="Y97" s="1">
        <f t="shared" si="111"/>
        <v>0.5</v>
      </c>
      <c r="Z97" s="1">
        <f t="shared" si="101"/>
        <v>0.5</v>
      </c>
      <c r="AA97" s="1">
        <f t="shared" si="101"/>
        <v>1</v>
      </c>
      <c r="AC97" s="1">
        <f t="shared" si="112"/>
        <v>0</v>
      </c>
      <c r="AD97" s="1">
        <f t="shared" si="102"/>
        <v>0</v>
      </c>
      <c r="AE97" s="1">
        <f t="shared" si="102"/>
        <v>1</v>
      </c>
      <c r="AG97" s="1">
        <f t="shared" si="113"/>
        <v>0</v>
      </c>
      <c r="AH97" s="1">
        <f t="shared" si="103"/>
        <v>0</v>
      </c>
      <c r="AI97" s="1">
        <f t="shared" si="103"/>
        <v>1</v>
      </c>
      <c r="AK97" s="1">
        <f t="shared" si="114"/>
        <v>0</v>
      </c>
      <c r="AL97" s="1">
        <f t="shared" si="104"/>
        <v>0</v>
      </c>
      <c r="AM97" s="1">
        <f t="shared" si="104"/>
        <v>1</v>
      </c>
    </row>
    <row r="99" spans="1:39" x14ac:dyDescent="0.3">
      <c r="A99" s="36" t="s">
        <v>108</v>
      </c>
      <c r="B99" s="36"/>
      <c r="D99" s="36" t="s">
        <v>111</v>
      </c>
      <c r="E99" s="36"/>
      <c r="G99" s="36" t="s">
        <v>112</v>
      </c>
      <c r="H99" s="36"/>
      <c r="J99" s="36" t="s">
        <v>113</v>
      </c>
      <c r="K99" s="36"/>
      <c r="M99" s="36" t="s">
        <v>114</v>
      </c>
      <c r="N99" s="36"/>
      <c r="P99" s="36" t="s">
        <v>115</v>
      </c>
      <c r="Q99" s="36"/>
      <c r="S99" s="36" t="s">
        <v>116</v>
      </c>
      <c r="T99" s="36"/>
      <c r="V99" s="36" t="s">
        <v>117</v>
      </c>
      <c r="W99" s="36"/>
      <c r="Y99" s="36" t="s">
        <v>118</v>
      </c>
      <c r="Z99" s="36"/>
      <c r="AB99" s="36" t="s">
        <v>119</v>
      </c>
      <c r="AC99" s="36"/>
    </row>
    <row r="100" spans="1:39" x14ac:dyDescent="0.3">
      <c r="A100" s="26" t="s">
        <v>109</v>
      </c>
      <c r="B100" s="26" t="s">
        <v>110</v>
      </c>
      <c r="D100" s="26" t="s">
        <v>109</v>
      </c>
      <c r="E100" s="26" t="s">
        <v>110</v>
      </c>
      <c r="G100" s="26" t="s">
        <v>109</v>
      </c>
      <c r="H100" s="26" t="s">
        <v>110</v>
      </c>
      <c r="J100" s="26" t="s">
        <v>109</v>
      </c>
      <c r="K100" s="26" t="s">
        <v>110</v>
      </c>
      <c r="M100" s="26" t="s">
        <v>109</v>
      </c>
      <c r="N100" s="26" t="s">
        <v>110</v>
      </c>
      <c r="P100" s="26" t="s">
        <v>109</v>
      </c>
      <c r="Q100" s="26" t="s">
        <v>110</v>
      </c>
      <c r="S100" s="26" t="s">
        <v>109</v>
      </c>
      <c r="T100" s="26" t="s">
        <v>110</v>
      </c>
      <c r="V100" s="26" t="s">
        <v>109</v>
      </c>
      <c r="W100" s="26" t="s">
        <v>110</v>
      </c>
      <c r="Y100" s="26" t="s">
        <v>109</v>
      </c>
      <c r="Z100" s="26" t="s">
        <v>110</v>
      </c>
      <c r="AB100" s="26" t="s">
        <v>109</v>
      </c>
      <c r="AC100" s="26" t="s">
        <v>110</v>
      </c>
    </row>
    <row r="101" spans="1:39" x14ac:dyDescent="0.3">
      <c r="A101" s="1">
        <f>IF($F$6&gt;G6,0,IF($F$6=G6,0.5,IF($F$6&lt;G6,1)))</f>
        <v>1</v>
      </c>
      <c r="B101" s="1">
        <f>IF($F$6&gt;H6,0,IF($F$6=H6,0.5,IF($F$6&lt;H6,1)))</f>
        <v>1</v>
      </c>
      <c r="D101" s="1">
        <f>IF($F$7&gt;G6,0,IF($F$7=G6,0.5,IF($F$7&lt;G6,1)))</f>
        <v>1</v>
      </c>
      <c r="E101" s="1">
        <f>IF($F$7&gt;H6,0,IF($F$7=H6,0.5,IF($F$7&lt;H6,1)))</f>
        <v>0.5</v>
      </c>
      <c r="G101" s="1">
        <f>IF($F$8&gt;G6,0,IF($F$8=G6,0.5,IF($F$8&lt;G6,1)))</f>
        <v>1</v>
      </c>
      <c r="H101" s="1">
        <f>IF($F$8&gt;H6,0,IF($F$8=H6,0.5,IF($F$8&lt;H6,1)))</f>
        <v>1</v>
      </c>
      <c r="J101" s="1">
        <f>IF($F$9&gt;G6,0,IF($F$9=G6,0.5,IF($F$9&lt;G6,1)))</f>
        <v>1</v>
      </c>
      <c r="K101" s="1">
        <f>IF($F$9&gt;H6,0,IF($F$9=H6,0.5,IF($F$9&lt;H6,1)))</f>
        <v>1</v>
      </c>
      <c r="M101" s="1">
        <f>IF($F$10&gt;G6,0,IF($F$10=G6,0.5,IF($F$10&lt;G6,1)))</f>
        <v>1</v>
      </c>
      <c r="N101" s="1">
        <f>IF($F$10&gt;H6,0,IF($F$10=H6,0.5,IF($F$10&lt;H6,1)))</f>
        <v>1</v>
      </c>
      <c r="P101" s="1">
        <f>IF($F$11&gt;G6,0,IF($F$11=G6,0.5,IF($F$11&lt;G6,1)))</f>
        <v>1</v>
      </c>
      <c r="Q101" s="1">
        <f>IF($F$11&gt;H6,0,IF($F$11=H6,0.5,IF($F$11&lt;H6,1)))</f>
        <v>0</v>
      </c>
      <c r="S101" s="1">
        <f>IF($F$12&gt;G6,0,IF($F$12=G6,0.5,IF($F$12&lt;G6,1)))</f>
        <v>1</v>
      </c>
      <c r="T101" s="1">
        <f>IF($F$12&gt;H6,0,IF($F$12=H6,0.5,IF($F$12&lt;H6,1)))</f>
        <v>1</v>
      </c>
      <c r="V101" s="1">
        <f>IF($F$13&gt;G6,0,IF($F$13=G6,0.5,IF($F$13&lt;G6,1)))</f>
        <v>1</v>
      </c>
      <c r="W101" s="1">
        <f>IF($F$13&gt;H6,0,IF($F$13=H6,0.5,IF($F$13&lt;H6,1)))</f>
        <v>1</v>
      </c>
      <c r="Y101" s="1">
        <f>IF($F$14&gt;G6,0,IF($F$14=G6,0.5,IF($F$14&lt;G6,1)))</f>
        <v>1</v>
      </c>
      <c r="Z101" s="1">
        <f>IF($F$14&gt;H6,0,IF($F$14=H6,0.5,IF($F$14&lt;H6,1)))</f>
        <v>0.5</v>
      </c>
      <c r="AB101" s="1">
        <f>IF($F$15&gt;G6,0,IF($F$15=G6,0.5,IF($F$15&lt;G6,1)))</f>
        <v>1</v>
      </c>
      <c r="AC101" s="1">
        <f>IF($F$15&gt;H6,0,IF($F$15=H6,0.5,IF($F$15&lt;H6,1)))</f>
        <v>1</v>
      </c>
    </row>
    <row r="102" spans="1:39" x14ac:dyDescent="0.3">
      <c r="A102" s="1">
        <f t="shared" ref="A102:B110" si="115">IF($F$6&gt;G7,0,IF($F$6=G7,0.5,IF($F$6&lt;G7,1)))</f>
        <v>0</v>
      </c>
      <c r="B102" s="1">
        <f t="shared" si="115"/>
        <v>0.5</v>
      </c>
      <c r="D102" s="1">
        <f t="shared" ref="D102:E110" si="116">IF($F$7&gt;G7,0,IF($F$7=G7,0.5,IF($F$7&lt;G7,1)))</f>
        <v>0</v>
      </c>
      <c r="E102" s="1">
        <f t="shared" si="116"/>
        <v>0</v>
      </c>
      <c r="G102" s="1">
        <f t="shared" ref="G102:H110" si="117">IF($F$8&gt;G7,0,IF($F$8=G7,0.5,IF($F$8&lt;G7,1)))</f>
        <v>0</v>
      </c>
      <c r="H102" s="1">
        <f t="shared" si="117"/>
        <v>1</v>
      </c>
      <c r="J102" s="1">
        <f t="shared" ref="J102:K110" si="118">IF($F$9&gt;G7,0,IF($F$9=G7,0.5,IF($F$9&lt;G7,1)))</f>
        <v>0</v>
      </c>
      <c r="K102" s="1">
        <f t="shared" si="118"/>
        <v>1</v>
      </c>
      <c r="M102" s="1">
        <f t="shared" ref="M102:N110" si="119">IF($F$10&gt;G7,0,IF($F$10=G7,0.5,IF($F$10&lt;G7,1)))</f>
        <v>0</v>
      </c>
      <c r="N102" s="1">
        <f t="shared" si="119"/>
        <v>0.5</v>
      </c>
      <c r="P102" s="1">
        <f t="shared" ref="P102:Q110" si="120">IF($F$11&gt;G7,0,IF($F$11=G7,0.5,IF($F$11&lt;G7,1)))</f>
        <v>0</v>
      </c>
      <c r="Q102" s="1">
        <f t="shared" si="120"/>
        <v>0</v>
      </c>
      <c r="S102" s="1">
        <f t="shared" ref="S102:T110" si="121">IF($F$12&gt;G7,0,IF($F$12=G7,0.5,IF($F$12&lt;G7,1)))</f>
        <v>0</v>
      </c>
      <c r="T102" s="1">
        <f t="shared" si="121"/>
        <v>1</v>
      </c>
      <c r="V102" s="1">
        <f t="shared" ref="V102:W110" si="122">IF($F$13&gt;G7,0,IF($F$13=G7,0.5,IF($F$13&lt;G7,1)))</f>
        <v>0</v>
      </c>
      <c r="W102" s="1">
        <f t="shared" si="122"/>
        <v>1</v>
      </c>
      <c r="Y102" s="1">
        <f t="shared" ref="Y102:Z110" si="123">IF($F$14&gt;G7,0,IF($F$14=G7,0.5,IF($F$14&lt;G7,1)))</f>
        <v>0</v>
      </c>
      <c r="Z102" s="1">
        <f t="shared" si="123"/>
        <v>0</v>
      </c>
      <c r="AB102" s="1">
        <f t="shared" ref="AB102:AC110" si="124">IF($F$15&gt;G7,0,IF($F$15=G7,0.5,IF($F$15&lt;G7,1)))</f>
        <v>0</v>
      </c>
      <c r="AC102" s="1">
        <f t="shared" si="124"/>
        <v>1</v>
      </c>
    </row>
    <row r="103" spans="1:39" x14ac:dyDescent="0.3">
      <c r="A103" s="1">
        <f t="shared" si="115"/>
        <v>0</v>
      </c>
      <c r="B103" s="1">
        <f t="shared" si="115"/>
        <v>1</v>
      </c>
      <c r="D103" s="1">
        <f t="shared" si="116"/>
        <v>0</v>
      </c>
      <c r="E103" s="1">
        <f t="shared" si="116"/>
        <v>1</v>
      </c>
      <c r="G103" s="1">
        <f t="shared" si="117"/>
        <v>0.5</v>
      </c>
      <c r="H103" s="1">
        <f t="shared" si="117"/>
        <v>1</v>
      </c>
      <c r="J103" s="1">
        <f t="shared" si="118"/>
        <v>0</v>
      </c>
      <c r="K103" s="1">
        <f t="shared" si="118"/>
        <v>1</v>
      </c>
      <c r="M103" s="1">
        <f t="shared" si="119"/>
        <v>0</v>
      </c>
      <c r="N103" s="1">
        <f t="shared" si="119"/>
        <v>1</v>
      </c>
      <c r="P103" s="1">
        <f t="shared" si="120"/>
        <v>0</v>
      </c>
      <c r="Q103" s="1">
        <f t="shared" si="120"/>
        <v>0</v>
      </c>
      <c r="S103" s="1">
        <f t="shared" si="121"/>
        <v>0</v>
      </c>
      <c r="T103" s="1">
        <f t="shared" si="121"/>
        <v>1</v>
      </c>
      <c r="V103" s="1">
        <f t="shared" si="122"/>
        <v>0.5</v>
      </c>
      <c r="W103" s="1">
        <f t="shared" si="122"/>
        <v>1</v>
      </c>
      <c r="Y103" s="1">
        <f t="shared" si="123"/>
        <v>0</v>
      </c>
      <c r="Z103" s="1">
        <f t="shared" si="123"/>
        <v>1</v>
      </c>
      <c r="AB103" s="1">
        <f t="shared" si="124"/>
        <v>0.5</v>
      </c>
      <c r="AC103" s="1">
        <f t="shared" si="124"/>
        <v>1</v>
      </c>
    </row>
    <row r="104" spans="1:39" x14ac:dyDescent="0.3">
      <c r="A104" s="1">
        <f t="shared" si="115"/>
        <v>0</v>
      </c>
      <c r="B104" s="1">
        <f t="shared" si="115"/>
        <v>0</v>
      </c>
      <c r="D104" s="1">
        <f t="shared" si="116"/>
        <v>0</v>
      </c>
      <c r="E104" s="1">
        <f t="shared" si="116"/>
        <v>0</v>
      </c>
      <c r="G104" s="1">
        <f t="shared" si="117"/>
        <v>0.5</v>
      </c>
      <c r="H104" s="1">
        <f t="shared" si="117"/>
        <v>1</v>
      </c>
      <c r="J104" s="1">
        <f t="shared" si="118"/>
        <v>0</v>
      </c>
      <c r="K104" s="1">
        <f t="shared" si="118"/>
        <v>0.5</v>
      </c>
      <c r="M104" s="1">
        <f t="shared" si="119"/>
        <v>0</v>
      </c>
      <c r="N104" s="1">
        <f t="shared" si="119"/>
        <v>0</v>
      </c>
      <c r="P104" s="1">
        <f t="shared" si="120"/>
        <v>0</v>
      </c>
      <c r="Q104" s="1">
        <f t="shared" si="120"/>
        <v>0</v>
      </c>
      <c r="S104" s="1">
        <f t="shared" si="121"/>
        <v>0</v>
      </c>
      <c r="T104" s="1">
        <f t="shared" si="121"/>
        <v>0.5</v>
      </c>
      <c r="V104" s="1">
        <f t="shared" si="122"/>
        <v>0.5</v>
      </c>
      <c r="W104" s="1">
        <f t="shared" si="122"/>
        <v>1</v>
      </c>
      <c r="Y104" s="1">
        <f t="shared" si="123"/>
        <v>0</v>
      </c>
      <c r="Z104" s="1">
        <f t="shared" si="123"/>
        <v>0</v>
      </c>
      <c r="AB104" s="1">
        <f t="shared" si="124"/>
        <v>0.5</v>
      </c>
      <c r="AC104" s="1">
        <f t="shared" si="124"/>
        <v>1</v>
      </c>
    </row>
    <row r="105" spans="1:39" x14ac:dyDescent="0.3">
      <c r="A105" s="1">
        <f t="shared" si="115"/>
        <v>0.5</v>
      </c>
      <c r="B105" s="1">
        <f t="shared" si="115"/>
        <v>1</v>
      </c>
      <c r="D105" s="1">
        <f t="shared" si="116"/>
        <v>0</v>
      </c>
      <c r="E105" s="1">
        <f t="shared" si="116"/>
        <v>1</v>
      </c>
      <c r="G105" s="1">
        <f t="shared" si="117"/>
        <v>1</v>
      </c>
      <c r="H105" s="1">
        <f t="shared" si="117"/>
        <v>1</v>
      </c>
      <c r="J105" s="1">
        <f t="shared" si="118"/>
        <v>1</v>
      </c>
      <c r="K105" s="1">
        <f t="shared" si="118"/>
        <v>1</v>
      </c>
      <c r="M105" s="1">
        <f t="shared" si="119"/>
        <v>0.5</v>
      </c>
      <c r="N105" s="1">
        <f t="shared" si="119"/>
        <v>1</v>
      </c>
      <c r="P105" s="1">
        <f t="shared" si="120"/>
        <v>0</v>
      </c>
      <c r="Q105" s="1">
        <f t="shared" si="120"/>
        <v>0</v>
      </c>
      <c r="S105" s="1">
        <f t="shared" si="121"/>
        <v>1</v>
      </c>
      <c r="T105" s="1">
        <f t="shared" si="121"/>
        <v>1</v>
      </c>
      <c r="V105" s="1">
        <f t="shared" si="122"/>
        <v>1</v>
      </c>
      <c r="W105" s="1">
        <f t="shared" si="122"/>
        <v>1</v>
      </c>
      <c r="Y105" s="1">
        <f t="shared" si="123"/>
        <v>0</v>
      </c>
      <c r="Z105" s="1">
        <f t="shared" si="123"/>
        <v>1</v>
      </c>
      <c r="AB105" s="1">
        <f t="shared" si="124"/>
        <v>1</v>
      </c>
      <c r="AC105" s="1">
        <f t="shared" si="124"/>
        <v>1</v>
      </c>
    </row>
    <row r="106" spans="1:39" x14ac:dyDescent="0.3">
      <c r="A106" s="1">
        <f t="shared" si="115"/>
        <v>0.5</v>
      </c>
      <c r="B106" s="1">
        <f t="shared" si="115"/>
        <v>1</v>
      </c>
      <c r="D106" s="1">
        <f t="shared" si="116"/>
        <v>0</v>
      </c>
      <c r="E106" s="1">
        <f t="shared" si="116"/>
        <v>1</v>
      </c>
      <c r="G106" s="1">
        <f t="shared" si="117"/>
        <v>1</v>
      </c>
      <c r="H106" s="1">
        <f t="shared" si="117"/>
        <v>1</v>
      </c>
      <c r="J106" s="1">
        <f t="shared" si="118"/>
        <v>1</v>
      </c>
      <c r="K106" s="1">
        <f t="shared" si="118"/>
        <v>1</v>
      </c>
      <c r="M106" s="1">
        <f t="shared" si="119"/>
        <v>0.5</v>
      </c>
      <c r="N106" s="1">
        <f t="shared" si="119"/>
        <v>1</v>
      </c>
      <c r="P106" s="1">
        <f t="shared" si="120"/>
        <v>0</v>
      </c>
      <c r="Q106" s="1">
        <f t="shared" si="120"/>
        <v>0</v>
      </c>
      <c r="S106" s="1">
        <f t="shared" si="121"/>
        <v>1</v>
      </c>
      <c r="T106" s="1">
        <f t="shared" si="121"/>
        <v>1</v>
      </c>
      <c r="V106" s="1">
        <f t="shared" si="122"/>
        <v>1</v>
      </c>
      <c r="W106" s="1">
        <f t="shared" si="122"/>
        <v>1</v>
      </c>
      <c r="Y106" s="1">
        <f t="shared" si="123"/>
        <v>0</v>
      </c>
      <c r="Z106" s="1">
        <f t="shared" si="123"/>
        <v>1</v>
      </c>
      <c r="AB106" s="1">
        <f t="shared" si="124"/>
        <v>1</v>
      </c>
      <c r="AC106" s="1">
        <f t="shared" si="124"/>
        <v>1</v>
      </c>
    </row>
    <row r="107" spans="1:39" x14ac:dyDescent="0.3">
      <c r="A107" s="1">
        <f t="shared" si="115"/>
        <v>0.5</v>
      </c>
      <c r="B107" s="1">
        <f t="shared" si="115"/>
        <v>0.5</v>
      </c>
      <c r="D107" s="1">
        <f t="shared" si="116"/>
        <v>0</v>
      </c>
      <c r="E107" s="1">
        <f t="shared" si="116"/>
        <v>0</v>
      </c>
      <c r="G107" s="1">
        <f t="shared" si="117"/>
        <v>1</v>
      </c>
      <c r="H107" s="1">
        <f t="shared" si="117"/>
        <v>1</v>
      </c>
      <c r="J107" s="1">
        <f t="shared" si="118"/>
        <v>1</v>
      </c>
      <c r="K107" s="1">
        <f t="shared" si="118"/>
        <v>1</v>
      </c>
      <c r="M107" s="1">
        <f t="shared" si="119"/>
        <v>0.5</v>
      </c>
      <c r="N107" s="1">
        <f t="shared" si="119"/>
        <v>0.5</v>
      </c>
      <c r="P107" s="1">
        <f t="shared" si="120"/>
        <v>0</v>
      </c>
      <c r="Q107" s="1">
        <f t="shared" si="120"/>
        <v>0</v>
      </c>
      <c r="S107" s="1">
        <f t="shared" si="121"/>
        <v>1</v>
      </c>
      <c r="T107" s="1">
        <f t="shared" si="121"/>
        <v>1</v>
      </c>
      <c r="V107" s="1">
        <f t="shared" si="122"/>
        <v>1</v>
      </c>
      <c r="W107" s="1">
        <f t="shared" si="122"/>
        <v>1</v>
      </c>
      <c r="Y107" s="1">
        <f t="shared" si="123"/>
        <v>0</v>
      </c>
      <c r="Z107" s="1">
        <f t="shared" si="123"/>
        <v>0</v>
      </c>
      <c r="AB107" s="1">
        <f t="shared" si="124"/>
        <v>1</v>
      </c>
      <c r="AC107" s="1">
        <f t="shared" si="124"/>
        <v>1</v>
      </c>
    </row>
    <row r="108" spans="1:39" x14ac:dyDescent="0.3">
      <c r="A108" s="1">
        <f t="shared" si="115"/>
        <v>0</v>
      </c>
      <c r="B108" s="1">
        <f t="shared" si="115"/>
        <v>0</v>
      </c>
      <c r="D108" s="1">
        <f t="shared" si="116"/>
        <v>0</v>
      </c>
      <c r="E108" s="1">
        <f t="shared" si="116"/>
        <v>0</v>
      </c>
      <c r="G108" s="1">
        <f t="shared" si="117"/>
        <v>0</v>
      </c>
      <c r="H108" s="1">
        <f t="shared" si="117"/>
        <v>0</v>
      </c>
      <c r="J108" s="1">
        <f t="shared" si="118"/>
        <v>0</v>
      </c>
      <c r="K108" s="1">
        <f t="shared" si="118"/>
        <v>0</v>
      </c>
      <c r="M108" s="1">
        <f t="shared" si="119"/>
        <v>0</v>
      </c>
      <c r="N108" s="1">
        <f t="shared" si="119"/>
        <v>0</v>
      </c>
      <c r="P108" s="1">
        <f t="shared" si="120"/>
        <v>0</v>
      </c>
      <c r="Q108" s="1">
        <f t="shared" si="120"/>
        <v>0</v>
      </c>
      <c r="S108" s="1">
        <f t="shared" si="121"/>
        <v>0</v>
      </c>
      <c r="T108" s="1">
        <f t="shared" si="121"/>
        <v>0</v>
      </c>
      <c r="V108" s="1">
        <f t="shared" si="122"/>
        <v>0</v>
      </c>
      <c r="W108" s="1">
        <f t="shared" si="122"/>
        <v>0</v>
      </c>
      <c r="Y108" s="1">
        <f t="shared" si="123"/>
        <v>0</v>
      </c>
      <c r="Z108" s="1">
        <f t="shared" si="123"/>
        <v>0</v>
      </c>
      <c r="AB108" s="1">
        <f t="shared" si="124"/>
        <v>0</v>
      </c>
      <c r="AC108" s="1">
        <f t="shared" si="124"/>
        <v>0</v>
      </c>
    </row>
    <row r="109" spans="1:39" x14ac:dyDescent="0.3">
      <c r="A109" s="1">
        <f t="shared" si="115"/>
        <v>0.5</v>
      </c>
      <c r="B109" s="1">
        <f t="shared" si="115"/>
        <v>1</v>
      </c>
      <c r="D109" s="1">
        <f t="shared" si="116"/>
        <v>0</v>
      </c>
      <c r="E109" s="1">
        <f t="shared" si="116"/>
        <v>1</v>
      </c>
      <c r="G109" s="1">
        <f t="shared" si="117"/>
        <v>1</v>
      </c>
      <c r="H109" s="1">
        <f t="shared" si="117"/>
        <v>1</v>
      </c>
      <c r="J109" s="1">
        <f t="shared" si="118"/>
        <v>1</v>
      </c>
      <c r="K109" s="1">
        <f t="shared" si="118"/>
        <v>1</v>
      </c>
      <c r="M109" s="1">
        <f t="shared" si="119"/>
        <v>0.5</v>
      </c>
      <c r="N109" s="1">
        <f t="shared" si="119"/>
        <v>1</v>
      </c>
      <c r="P109" s="1">
        <f t="shared" si="120"/>
        <v>0</v>
      </c>
      <c r="Q109" s="1">
        <f t="shared" si="120"/>
        <v>0</v>
      </c>
      <c r="S109" s="1">
        <f t="shared" si="121"/>
        <v>1</v>
      </c>
      <c r="T109" s="1">
        <f t="shared" si="121"/>
        <v>1</v>
      </c>
      <c r="V109" s="1">
        <f t="shared" si="122"/>
        <v>1</v>
      </c>
      <c r="W109" s="1">
        <f t="shared" si="122"/>
        <v>1</v>
      </c>
      <c r="Y109" s="1">
        <f t="shared" si="123"/>
        <v>0</v>
      </c>
      <c r="Z109" s="1">
        <f t="shared" si="123"/>
        <v>1</v>
      </c>
      <c r="AB109" s="1">
        <f t="shared" si="124"/>
        <v>1</v>
      </c>
      <c r="AC109" s="1">
        <f t="shared" si="124"/>
        <v>1</v>
      </c>
    </row>
    <row r="110" spans="1:39" x14ac:dyDescent="0.3">
      <c r="A110" s="1">
        <f t="shared" si="115"/>
        <v>0</v>
      </c>
      <c r="B110" s="1">
        <f t="shared" si="115"/>
        <v>1</v>
      </c>
      <c r="D110" s="1">
        <f t="shared" si="116"/>
        <v>0</v>
      </c>
      <c r="E110" s="1">
        <f t="shared" si="116"/>
        <v>1</v>
      </c>
      <c r="G110" s="1">
        <f t="shared" si="117"/>
        <v>0.5</v>
      </c>
      <c r="H110" s="1">
        <f t="shared" si="117"/>
        <v>1</v>
      </c>
      <c r="J110" s="1">
        <f t="shared" si="118"/>
        <v>0</v>
      </c>
      <c r="K110" s="1">
        <f t="shared" si="118"/>
        <v>1</v>
      </c>
      <c r="M110" s="1">
        <f t="shared" si="119"/>
        <v>0</v>
      </c>
      <c r="N110" s="1">
        <f t="shared" si="119"/>
        <v>1</v>
      </c>
      <c r="P110" s="1">
        <f t="shared" si="120"/>
        <v>0</v>
      </c>
      <c r="Q110" s="1">
        <f t="shared" si="120"/>
        <v>0</v>
      </c>
      <c r="S110" s="1">
        <f t="shared" si="121"/>
        <v>0</v>
      </c>
      <c r="T110" s="1">
        <f t="shared" si="121"/>
        <v>1</v>
      </c>
      <c r="V110" s="1">
        <f t="shared" si="122"/>
        <v>0.5</v>
      </c>
      <c r="W110" s="1">
        <f t="shared" si="122"/>
        <v>1</v>
      </c>
      <c r="Y110" s="1">
        <f t="shared" si="123"/>
        <v>0</v>
      </c>
      <c r="Z110" s="1">
        <f t="shared" si="123"/>
        <v>1</v>
      </c>
      <c r="AB110" s="1">
        <f t="shared" si="124"/>
        <v>0.5</v>
      </c>
      <c r="AC110" s="1">
        <f t="shared" si="124"/>
        <v>1</v>
      </c>
    </row>
    <row r="112" spans="1:39" x14ac:dyDescent="0.3">
      <c r="A112" s="6" t="s">
        <v>121</v>
      </c>
      <c r="C112" s="6" t="s">
        <v>122</v>
      </c>
      <c r="E112" s="6" t="s">
        <v>123</v>
      </c>
      <c r="G112" s="6" t="s">
        <v>124</v>
      </c>
      <c r="I112" s="6" t="s">
        <v>125</v>
      </c>
      <c r="K112" s="6" t="s">
        <v>126</v>
      </c>
      <c r="M112" s="6" t="s">
        <v>127</v>
      </c>
      <c r="O112" s="6" t="s">
        <v>128</v>
      </c>
      <c r="Q112" s="6" t="s">
        <v>129</v>
      </c>
      <c r="S112" s="6" t="s">
        <v>130</v>
      </c>
    </row>
    <row r="113" spans="1:19" x14ac:dyDescent="0.3">
      <c r="A113" s="26" t="s">
        <v>120</v>
      </c>
      <c r="C113" s="26" t="s">
        <v>120</v>
      </c>
      <c r="E113" s="26" t="s">
        <v>120</v>
      </c>
      <c r="G113" s="26" t="s">
        <v>120</v>
      </c>
      <c r="I113" s="28" t="s">
        <v>120</v>
      </c>
      <c r="K113" s="28" t="s">
        <v>120</v>
      </c>
      <c r="M113" s="26" t="s">
        <v>120</v>
      </c>
      <c r="O113" s="26" t="s">
        <v>120</v>
      </c>
      <c r="Q113" s="26" t="s">
        <v>120</v>
      </c>
      <c r="S113" s="26" t="s">
        <v>120</v>
      </c>
    </row>
    <row r="114" spans="1:19" x14ac:dyDescent="0.3">
      <c r="A114" s="1">
        <f>IF($G$6&gt;H6,0,IF($G$6=H6,0.5,IF($G$6&lt;H6,1)))</f>
        <v>0</v>
      </c>
      <c r="C114" s="1">
        <f>IF($G$7&gt;H6,0,IF($G$7=H6,0.5,IF($G$7&lt;H6,1)))</f>
        <v>1</v>
      </c>
      <c r="E114" s="1">
        <f>IF($G$8&gt;H6,0,IF($G$8=H6,0.5,IF($G$8&lt;H6,1)))</f>
        <v>1</v>
      </c>
      <c r="G114" s="1">
        <f>IF($G$9&gt;H6,0,IF($G$9=H6,0.5,IF($G$9&lt;H6,1)))</f>
        <v>1</v>
      </c>
      <c r="I114" s="1">
        <f>IF($G$10&gt;H6,0,IF($G$10=H6,0.5,IF($G$10&lt;H6,1)))</f>
        <v>1</v>
      </c>
      <c r="K114" s="1">
        <f>IF($G$11&gt;H6,0,IF($G$11=H6,0.5,IF($G$11&lt;H6,1)))</f>
        <v>1</v>
      </c>
      <c r="M114" s="1">
        <f>IF($G$12&gt;H6,0,IF($G$12=H6,0.5,IF($G$12&lt;H6,1)))</f>
        <v>1</v>
      </c>
      <c r="O114" s="1">
        <f>IF($G$13&gt;H6,0,IF($G$13=H6,0.5,IF($G$13&lt;H6,1)))</f>
        <v>1</v>
      </c>
      <c r="Q114" s="1">
        <f>IF($G$14&gt;H6,0,IF($G$14=H6,0.5,IF($G$14&lt;H6,1)))</f>
        <v>1</v>
      </c>
      <c r="S114" s="1">
        <f>IF($G$15&gt;H6,0,IF($G$15=H6,0.5,IF($G$15&lt;H6,1)))</f>
        <v>1</v>
      </c>
    </row>
    <row r="115" spans="1:19" x14ac:dyDescent="0.3">
      <c r="A115" s="1">
        <f t="shared" ref="A115:A123" si="125">IF($G$6&gt;H7,0,IF($G$6=H7,0.5,IF($G$6&lt;H7,1)))</f>
        <v>0</v>
      </c>
      <c r="C115" s="1">
        <f t="shared" ref="C115:C123" si="126">IF($G$7&gt;H7,0,IF($G$7=H7,0.5,IF($G$7&lt;H7,1)))</f>
        <v>1</v>
      </c>
      <c r="E115" s="1">
        <f t="shared" ref="E115:E123" si="127">IF($G$8&gt;H7,0,IF($G$8=H7,0.5,IF($G$8&lt;H7,1)))</f>
        <v>1</v>
      </c>
      <c r="G115" s="1">
        <f t="shared" ref="G115:G123" si="128">IF($G$9&gt;H7,0,IF($G$9=H7,0.5,IF($G$9&lt;H7,1)))</f>
        <v>1</v>
      </c>
      <c r="I115" s="1">
        <f t="shared" ref="I115:I123" si="129">IF($G$10&gt;H7,0,IF($G$10=H7,0.5,IF($G$10&lt;H7,1)))</f>
        <v>0.5</v>
      </c>
      <c r="K115" s="1">
        <f t="shared" ref="K115:K123" si="130">IF($G$11&gt;H7,0,IF($G$11=H7,0.5,IF($G$11&lt;H7,1)))</f>
        <v>0.5</v>
      </c>
      <c r="M115" s="1">
        <f t="shared" ref="M115:M123" si="131">IF($G$12&gt;H7,0,IF($G$12=H7,0.5,IF($G$12&lt;H7,1)))</f>
        <v>0.5</v>
      </c>
      <c r="O115" s="1">
        <f t="shared" ref="O115:O123" si="132">IF($G$13&gt;H7,0,IF($G$13=H7,0.5,IF($G$13&lt;H7,1)))</f>
        <v>1</v>
      </c>
      <c r="Q115" s="1">
        <f t="shared" ref="Q115:Q123" si="133">IF($G$14&gt;H7,0,IF($G$14=H7,0.5,IF($G$14&lt;H7,1)))</f>
        <v>0.5</v>
      </c>
      <c r="S115" s="1">
        <f t="shared" ref="S115:S123" si="134">IF($G$15&gt;H7,0,IF($G$15=H7,0.5,IF($G$15&lt;H7,1)))</f>
        <v>1</v>
      </c>
    </row>
    <row r="116" spans="1:19" x14ac:dyDescent="0.3">
      <c r="A116" s="1">
        <f t="shared" si="125"/>
        <v>0</v>
      </c>
      <c r="C116" s="1">
        <f t="shared" si="126"/>
        <v>1</v>
      </c>
      <c r="E116" s="1">
        <f t="shared" si="127"/>
        <v>1</v>
      </c>
      <c r="G116" s="1">
        <f t="shared" si="128"/>
        <v>1</v>
      </c>
      <c r="I116" s="1">
        <f t="shared" si="129"/>
        <v>1</v>
      </c>
      <c r="K116" s="1">
        <f t="shared" si="130"/>
        <v>1</v>
      </c>
      <c r="M116" s="1">
        <f t="shared" si="131"/>
        <v>1</v>
      </c>
      <c r="O116" s="1">
        <f t="shared" si="132"/>
        <v>1</v>
      </c>
      <c r="Q116" s="1">
        <f t="shared" si="133"/>
        <v>1</v>
      </c>
      <c r="S116" s="1">
        <f t="shared" si="134"/>
        <v>1</v>
      </c>
    </row>
    <row r="117" spans="1:19" x14ac:dyDescent="0.3">
      <c r="A117" s="1">
        <f t="shared" si="125"/>
        <v>0</v>
      </c>
      <c r="C117" s="1">
        <f t="shared" si="126"/>
        <v>1</v>
      </c>
      <c r="E117" s="1">
        <f t="shared" si="127"/>
        <v>1</v>
      </c>
      <c r="G117" s="1">
        <f t="shared" si="128"/>
        <v>1</v>
      </c>
      <c r="I117" s="1">
        <f t="shared" si="129"/>
        <v>0</v>
      </c>
      <c r="K117" s="1">
        <f t="shared" si="130"/>
        <v>0</v>
      </c>
      <c r="M117" s="1">
        <f t="shared" si="131"/>
        <v>0</v>
      </c>
      <c r="O117" s="1">
        <f t="shared" si="132"/>
        <v>1</v>
      </c>
      <c r="Q117" s="1">
        <f t="shared" si="133"/>
        <v>0</v>
      </c>
      <c r="S117" s="1">
        <f t="shared" si="134"/>
        <v>1</v>
      </c>
    </row>
    <row r="118" spans="1:19" x14ac:dyDescent="0.3">
      <c r="A118" s="1">
        <f t="shared" si="125"/>
        <v>0</v>
      </c>
      <c r="C118" s="1">
        <f t="shared" si="126"/>
        <v>1</v>
      </c>
      <c r="E118" s="1">
        <f t="shared" si="127"/>
        <v>1</v>
      </c>
      <c r="G118" s="1">
        <f t="shared" si="128"/>
        <v>1</v>
      </c>
      <c r="I118" s="1">
        <f t="shared" si="129"/>
        <v>1</v>
      </c>
      <c r="K118" s="1">
        <f t="shared" si="130"/>
        <v>1</v>
      </c>
      <c r="M118" s="1">
        <f t="shared" si="131"/>
        <v>1</v>
      </c>
      <c r="O118" s="1">
        <f t="shared" si="132"/>
        <v>1</v>
      </c>
      <c r="Q118" s="1">
        <f t="shared" si="133"/>
        <v>1</v>
      </c>
      <c r="S118" s="1">
        <f t="shared" si="134"/>
        <v>1</v>
      </c>
    </row>
    <row r="119" spans="1:19" x14ac:dyDescent="0.3">
      <c r="A119" s="1">
        <f t="shared" si="125"/>
        <v>0</v>
      </c>
      <c r="C119" s="1">
        <f t="shared" si="126"/>
        <v>1</v>
      </c>
      <c r="E119" s="1">
        <f t="shared" si="127"/>
        <v>1</v>
      </c>
      <c r="G119" s="1">
        <f t="shared" si="128"/>
        <v>1</v>
      </c>
      <c r="I119" s="1">
        <f t="shared" si="129"/>
        <v>1</v>
      </c>
      <c r="K119" s="1">
        <f t="shared" si="130"/>
        <v>1</v>
      </c>
      <c r="M119" s="1">
        <f t="shared" si="131"/>
        <v>1</v>
      </c>
      <c r="O119" s="1">
        <f t="shared" si="132"/>
        <v>1</v>
      </c>
      <c r="Q119" s="1">
        <f t="shared" si="133"/>
        <v>1</v>
      </c>
      <c r="S119" s="1">
        <f t="shared" si="134"/>
        <v>1</v>
      </c>
    </row>
    <row r="120" spans="1:19" x14ac:dyDescent="0.3">
      <c r="A120" s="1">
        <f t="shared" si="125"/>
        <v>0</v>
      </c>
      <c r="C120" s="1">
        <f t="shared" si="126"/>
        <v>1</v>
      </c>
      <c r="E120" s="1">
        <f t="shared" si="127"/>
        <v>1</v>
      </c>
      <c r="G120" s="1">
        <f t="shared" si="128"/>
        <v>1</v>
      </c>
      <c r="I120" s="1">
        <f t="shared" si="129"/>
        <v>0.5</v>
      </c>
      <c r="K120" s="1">
        <f t="shared" si="130"/>
        <v>0.5</v>
      </c>
      <c r="M120" s="1">
        <f t="shared" si="131"/>
        <v>0.5</v>
      </c>
      <c r="O120" s="1">
        <f t="shared" si="132"/>
        <v>1</v>
      </c>
      <c r="Q120" s="1">
        <f t="shared" si="133"/>
        <v>0.5</v>
      </c>
      <c r="S120" s="1">
        <f t="shared" si="134"/>
        <v>1</v>
      </c>
    </row>
    <row r="121" spans="1:19" x14ac:dyDescent="0.3">
      <c r="A121" s="1">
        <f t="shared" si="125"/>
        <v>0</v>
      </c>
      <c r="C121" s="1">
        <f t="shared" si="126"/>
        <v>0.5</v>
      </c>
      <c r="E121" s="1">
        <f t="shared" si="127"/>
        <v>0</v>
      </c>
      <c r="G121" s="1">
        <f t="shared" si="128"/>
        <v>0</v>
      </c>
      <c r="I121" s="1">
        <f t="shared" si="129"/>
        <v>0</v>
      </c>
      <c r="K121" s="1">
        <f t="shared" si="130"/>
        <v>0</v>
      </c>
      <c r="M121" s="1">
        <f t="shared" si="131"/>
        <v>0</v>
      </c>
      <c r="O121" s="1">
        <f t="shared" si="132"/>
        <v>1</v>
      </c>
      <c r="Q121" s="1">
        <f t="shared" si="133"/>
        <v>0</v>
      </c>
      <c r="S121" s="1">
        <f t="shared" si="134"/>
        <v>0</v>
      </c>
    </row>
    <row r="122" spans="1:19" x14ac:dyDescent="0.3">
      <c r="A122" s="1">
        <f t="shared" si="125"/>
        <v>0</v>
      </c>
      <c r="C122" s="1">
        <f t="shared" si="126"/>
        <v>1</v>
      </c>
      <c r="E122" s="1">
        <f t="shared" si="127"/>
        <v>1</v>
      </c>
      <c r="G122" s="1">
        <f t="shared" si="128"/>
        <v>1</v>
      </c>
      <c r="I122" s="1">
        <f t="shared" si="129"/>
        <v>1</v>
      </c>
      <c r="K122" s="1">
        <f t="shared" si="130"/>
        <v>1</v>
      </c>
      <c r="M122" s="1">
        <f t="shared" si="131"/>
        <v>1</v>
      </c>
      <c r="O122" s="1">
        <f t="shared" si="132"/>
        <v>1</v>
      </c>
      <c r="Q122" s="1">
        <f t="shared" si="133"/>
        <v>1</v>
      </c>
      <c r="S122" s="1">
        <f t="shared" si="134"/>
        <v>1</v>
      </c>
    </row>
    <row r="123" spans="1:19" x14ac:dyDescent="0.3">
      <c r="A123" s="1">
        <f t="shared" si="125"/>
        <v>0</v>
      </c>
      <c r="C123" s="1">
        <f t="shared" si="126"/>
        <v>1</v>
      </c>
      <c r="E123" s="1">
        <f t="shared" si="127"/>
        <v>1</v>
      </c>
      <c r="G123" s="1">
        <f t="shared" si="128"/>
        <v>1</v>
      </c>
      <c r="I123" s="1">
        <f t="shared" si="129"/>
        <v>1</v>
      </c>
      <c r="K123" s="1">
        <f t="shared" si="130"/>
        <v>1</v>
      </c>
      <c r="M123" s="1">
        <f t="shared" si="131"/>
        <v>1</v>
      </c>
      <c r="O123" s="1">
        <f t="shared" si="132"/>
        <v>1</v>
      </c>
      <c r="Q123" s="1">
        <f t="shared" si="133"/>
        <v>1</v>
      </c>
      <c r="S123" s="1">
        <f t="shared" si="134"/>
        <v>1</v>
      </c>
    </row>
  </sheetData>
  <sortState xmlns:xlrd2="http://schemas.microsoft.com/office/spreadsheetml/2017/richdata2" ref="A6:H15">
    <sortCondition ref="A6"/>
  </sortState>
  <mergeCells count="62">
    <mergeCell ref="A17:C17"/>
    <mergeCell ref="A5:C5"/>
    <mergeCell ref="C1:E1"/>
    <mergeCell ref="J5:K5"/>
    <mergeCell ref="G2:K2"/>
    <mergeCell ref="AY34:AZ34"/>
    <mergeCell ref="BG34:BH34"/>
    <mergeCell ref="BO34:BP34"/>
    <mergeCell ref="BW34:BX34"/>
    <mergeCell ref="C34:D34"/>
    <mergeCell ref="K34:L34"/>
    <mergeCell ref="S34:T34"/>
    <mergeCell ref="AA34:AB34"/>
    <mergeCell ref="AI34:AJ34"/>
    <mergeCell ref="AQ34:AR34"/>
    <mergeCell ref="BG47:BH47"/>
    <mergeCell ref="BN47:BO47"/>
    <mergeCell ref="C47:D47"/>
    <mergeCell ref="J47:K47"/>
    <mergeCell ref="Q47:R47"/>
    <mergeCell ref="X47:Y47"/>
    <mergeCell ref="AE47:AF47"/>
    <mergeCell ref="I60:J60"/>
    <mergeCell ref="O60:P60"/>
    <mergeCell ref="AL47:AM47"/>
    <mergeCell ref="AS47:AT47"/>
    <mergeCell ref="AZ47:BA47"/>
    <mergeCell ref="BE60:BF60"/>
    <mergeCell ref="B73:C73"/>
    <mergeCell ref="G73:H73"/>
    <mergeCell ref="L73:M73"/>
    <mergeCell ref="Q73:R73"/>
    <mergeCell ref="V73:W73"/>
    <mergeCell ref="AA73:AB73"/>
    <mergeCell ref="AF73:AG73"/>
    <mergeCell ref="AK73:AL73"/>
    <mergeCell ref="U60:V60"/>
    <mergeCell ref="AA60:AB60"/>
    <mergeCell ref="AG60:AH60"/>
    <mergeCell ref="AM60:AN60"/>
    <mergeCell ref="AS60:AT60"/>
    <mergeCell ref="AY60:AZ60"/>
    <mergeCell ref="C60:D60"/>
    <mergeCell ref="AP73:AQ73"/>
    <mergeCell ref="AU73:AV73"/>
    <mergeCell ref="A99:B99"/>
    <mergeCell ref="D99:E99"/>
    <mergeCell ref="G99:H99"/>
    <mergeCell ref="J99:K99"/>
    <mergeCell ref="M99:N99"/>
    <mergeCell ref="P99:Q99"/>
    <mergeCell ref="S99:T99"/>
    <mergeCell ref="V99:W99"/>
    <mergeCell ref="Y99:Z99"/>
    <mergeCell ref="AB99:AC99"/>
    <mergeCell ref="K29:L29"/>
    <mergeCell ref="R24:T24"/>
    <mergeCell ref="R25:T25"/>
    <mergeCell ref="R26:T26"/>
    <mergeCell ref="R27:T27"/>
    <mergeCell ref="R28:T28"/>
    <mergeCell ref="T30:Y30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73E8-56F8-4E50-A6CF-97B686C368A1}">
  <dimension ref="A1:CI61"/>
  <sheetViews>
    <sheetView tabSelected="1" topLeftCell="A28" zoomScale="85" zoomScaleNormal="85" workbookViewId="0">
      <selection activeCell="L38" sqref="L38"/>
    </sheetView>
  </sheetViews>
  <sheetFormatPr defaultRowHeight="14.4" x14ac:dyDescent="0.3"/>
  <cols>
    <col min="1" max="1" width="10.5546875" customWidth="1"/>
    <col min="4" max="4" width="12.33203125" customWidth="1"/>
    <col min="9" max="9" width="13.44140625" bestFit="1" customWidth="1"/>
    <col min="14" max="14" width="23.33203125" customWidth="1"/>
    <col min="16" max="16" width="22.44140625" bestFit="1" customWidth="1"/>
    <col min="56" max="56" width="12.5546875" bestFit="1" customWidth="1"/>
    <col min="67" max="67" width="12.5546875" bestFit="1" customWidth="1"/>
    <col min="78" max="78" width="12.5546875" bestFit="1" customWidth="1"/>
    <col min="79" max="79" width="13.109375" bestFit="1" customWidth="1"/>
  </cols>
  <sheetData>
    <row r="1" spans="1:87" x14ac:dyDescent="0.3">
      <c r="A1" s="1">
        <v>0.32896116661140695</v>
      </c>
      <c r="B1" s="1">
        <v>1.254442125474452</v>
      </c>
      <c r="C1" s="1">
        <v>2.7418442227295601</v>
      </c>
      <c r="D1" s="1">
        <v>0.23445419729687278</v>
      </c>
      <c r="E1" s="1">
        <v>1.1412632986495737</v>
      </c>
      <c r="F1" s="1">
        <v>2.5364027159288525</v>
      </c>
      <c r="G1" s="1">
        <v>1.9476087269722484</v>
      </c>
      <c r="H1" s="1">
        <v>2.3197418093099258</v>
      </c>
      <c r="I1" s="1">
        <v>1.9124785052932567</v>
      </c>
      <c r="J1" s="1">
        <v>2.1671564172691431</v>
      </c>
      <c r="L1" s="1">
        <v>0.67609369377896655</v>
      </c>
      <c r="M1" s="1">
        <v>1.6465955498744733</v>
      </c>
      <c r="N1" s="1">
        <v>0.96878748485469268</v>
      </c>
      <c r="O1" s="1">
        <v>1.0835726617267938</v>
      </c>
      <c r="P1" s="1">
        <v>2.3557249889738161</v>
      </c>
      <c r="Q1" s="1">
        <v>2.4574658517725765</v>
      </c>
      <c r="R1" s="1">
        <v>1.4863348421058618</v>
      </c>
      <c r="S1" s="1">
        <v>1.8696929080528206</v>
      </c>
      <c r="T1" s="1">
        <v>1.5737678990641144</v>
      </c>
      <c r="U1" s="1">
        <v>1.3617539525483153</v>
      </c>
      <c r="W1" s="1">
        <v>1.9228233466274105</v>
      </c>
      <c r="X1" s="1">
        <v>2.1811601557885298</v>
      </c>
      <c r="Y1" s="1">
        <v>0.4905419741058723</v>
      </c>
      <c r="Z1" s="1">
        <v>0.62839500615955335</v>
      </c>
      <c r="AA1" s="1">
        <v>2.2081885774416152</v>
      </c>
      <c r="AB1" s="1">
        <v>2.2261213224614038</v>
      </c>
      <c r="AC1" s="1">
        <v>2.384734618011862</v>
      </c>
      <c r="AD1" s="1">
        <v>2.1174565452151</v>
      </c>
      <c r="AE1" s="1">
        <v>1.8902777396229795</v>
      </c>
      <c r="AF1" s="1">
        <v>1.3063271853723564</v>
      </c>
      <c r="AH1" s="1">
        <v>1.2139938715117751</v>
      </c>
      <c r="AI1" s="1">
        <v>0.41528933555237013</v>
      </c>
      <c r="AJ1" s="1">
        <v>2.4127490218612366</v>
      </c>
      <c r="AK1" s="1">
        <v>1.1592215888493229</v>
      </c>
      <c r="AL1" s="1">
        <v>2.0915844217772248</v>
      </c>
      <c r="AM1" s="1">
        <v>2.2218557923100888</v>
      </c>
      <c r="AN1" s="1">
        <v>1.2612644619948696</v>
      </c>
      <c r="AO1" s="1">
        <v>1.6864351826137862</v>
      </c>
      <c r="AP1" s="1">
        <v>1.6165459823620041</v>
      </c>
      <c r="AQ1" s="1">
        <v>1.7081694568303647</v>
      </c>
      <c r="AS1" s="1">
        <v>0.32858372631017119</v>
      </c>
      <c r="AT1" s="1">
        <v>2.476439434150234</v>
      </c>
      <c r="AU1" s="1">
        <v>1.4634186795243296</v>
      </c>
      <c r="AV1" s="1">
        <v>1.1720306848554174</v>
      </c>
      <c r="AW1" s="1">
        <v>2.6766090443008577</v>
      </c>
      <c r="AX1" s="1">
        <v>0.87955802781507364</v>
      </c>
      <c r="AY1" s="1">
        <v>1.5547752279089764</v>
      </c>
      <c r="AZ1" s="1">
        <v>2.3436251401784829</v>
      </c>
      <c r="BA1" s="1">
        <v>2.0727223767986289</v>
      </c>
      <c r="BB1" s="1">
        <v>1.4175265550846234</v>
      </c>
      <c r="BD1" s="1">
        <v>0.33715457700600382</v>
      </c>
      <c r="BE1" s="1">
        <v>1.6038156475871801</v>
      </c>
      <c r="BF1" s="1">
        <v>1.20615946292819</v>
      </c>
      <c r="BG1" s="1">
        <v>1.0118925421091263</v>
      </c>
      <c r="BH1" s="1">
        <v>1.9220128862973069</v>
      </c>
      <c r="BI1" s="1">
        <v>1.7366976670804433</v>
      </c>
      <c r="BJ1" s="1">
        <v>1.2185350366635248</v>
      </c>
      <c r="BK1" s="1">
        <v>2.443917849427089</v>
      </c>
      <c r="BL1" s="1">
        <v>1.6947920852922835</v>
      </c>
      <c r="BM1" s="1">
        <v>-0.67390562435612078</v>
      </c>
      <c r="BO1" s="1">
        <v>1.0928457666304894</v>
      </c>
      <c r="BP1" s="1">
        <v>1.0894725194986676</v>
      </c>
      <c r="BQ1" s="1">
        <v>0.78976573098916569</v>
      </c>
      <c r="BR1" s="1">
        <v>1.2745341483503581</v>
      </c>
      <c r="BS1" s="1">
        <v>1.9797567049128701</v>
      </c>
      <c r="BT1" s="1">
        <v>1.3664232745999469</v>
      </c>
      <c r="BU1" s="1">
        <v>1.2032773535465822</v>
      </c>
      <c r="BV1" s="1">
        <v>2.0889402483357116</v>
      </c>
      <c r="BW1" s="1">
        <v>1.4955706814740553</v>
      </c>
      <c r="BX1" s="1">
        <v>1.363226310783648</v>
      </c>
      <c r="BZ1" s="1">
        <v>0.61298840389645193</v>
      </c>
      <c r="CA1" s="1">
        <v>0.6300005710101686</v>
      </c>
      <c r="CB1" s="1">
        <v>0.30331066631479198</v>
      </c>
      <c r="CC1" s="1">
        <v>0.62849050310323951</v>
      </c>
      <c r="CD1" s="1">
        <v>1.2129082890343852</v>
      </c>
      <c r="CE1" s="1">
        <v>1.5840126060415058</v>
      </c>
      <c r="CF1" s="1">
        <v>1.790353455056902</v>
      </c>
      <c r="CG1" s="1">
        <v>2.0255457391380332</v>
      </c>
      <c r="CH1" s="1">
        <v>1.8129877429979389</v>
      </c>
      <c r="CI1" s="1">
        <v>1.4263995853951201</v>
      </c>
    </row>
    <row r="2" spans="1:87" x14ac:dyDescent="0.3">
      <c r="A2" s="1">
        <v>1.859108695294708</v>
      </c>
      <c r="B2" s="1">
        <v>1.1749088601674884</v>
      </c>
      <c r="C2" s="1">
        <v>2.5228506314684638</v>
      </c>
      <c r="D2" s="1">
        <v>2.2472114470554514</v>
      </c>
      <c r="E2" s="1">
        <v>0.78789277469622909</v>
      </c>
      <c r="F2" s="1">
        <v>1.570590283232741</v>
      </c>
      <c r="G2" s="1">
        <v>1.722046764974948</v>
      </c>
      <c r="H2" s="1">
        <v>1.2794172041816636</v>
      </c>
      <c r="I2" s="1">
        <v>1.3337931745278184</v>
      </c>
      <c r="J2" s="1">
        <v>2.7357465842185773</v>
      </c>
      <c r="L2" s="1">
        <v>0.60900254336593207</v>
      </c>
      <c r="M2" s="1">
        <v>2.7929108485579492</v>
      </c>
      <c r="N2" s="1">
        <v>1.4788318862352754</v>
      </c>
      <c r="O2" s="1">
        <v>2.0086816822265972</v>
      </c>
      <c r="P2" s="1">
        <v>1.8025637175189331</v>
      </c>
      <c r="Q2" s="1">
        <v>-9.1214788984507411E-2</v>
      </c>
      <c r="R2" s="1">
        <v>1.1880733306170441</v>
      </c>
      <c r="S2" s="1">
        <v>2.0371722646581474</v>
      </c>
      <c r="T2" s="1">
        <v>0.56792360232211658</v>
      </c>
      <c r="U2" s="1">
        <v>1.0320510955323698</v>
      </c>
      <c r="W2" s="1">
        <v>0.82129565978539176</v>
      </c>
      <c r="X2" s="1">
        <v>1.4982246769533958</v>
      </c>
      <c r="Y2" s="1">
        <v>1.0558695561863716</v>
      </c>
      <c r="Z2" s="1">
        <v>0.74148953545663976</v>
      </c>
      <c r="AA2" s="1">
        <v>1.7260579327004961</v>
      </c>
      <c r="AB2" s="1">
        <v>1.4314948920276946</v>
      </c>
      <c r="AC2" s="1">
        <v>1.4713190845795907</v>
      </c>
      <c r="AD2" s="1">
        <v>2.3352332325652241</v>
      </c>
      <c r="AE2" s="1">
        <v>2.2550976650032681</v>
      </c>
      <c r="AF2" s="1">
        <v>2.9762576832552439</v>
      </c>
      <c r="AH2" s="1">
        <v>1.4967102995578898</v>
      </c>
      <c r="AI2" s="1">
        <v>1.3142177552537759</v>
      </c>
      <c r="AJ2" s="1">
        <v>1.2821718468709151</v>
      </c>
      <c r="AK2" s="1">
        <v>1.7257037744537229</v>
      </c>
      <c r="AL2" s="1">
        <v>0.33769789953948925</v>
      </c>
      <c r="AM2" s="1">
        <v>2.2675960998516529</v>
      </c>
      <c r="AN2" s="1">
        <v>2.5268558980897069</v>
      </c>
      <c r="AO2" s="1">
        <v>1.9975769580691121</v>
      </c>
      <c r="AP2" s="1">
        <v>1.1347013737045928</v>
      </c>
      <c r="AQ2" s="1">
        <v>1.0247926456911955</v>
      </c>
      <c r="AS2" s="1">
        <v>0.77814127305464353</v>
      </c>
      <c r="AT2" s="1">
        <v>0.38516277830349277</v>
      </c>
      <c r="AU2" s="1">
        <v>2.2722666512359866</v>
      </c>
      <c r="AV2" s="1">
        <v>0.71856231089332145</v>
      </c>
      <c r="AW2" s="1">
        <v>1.8667901869950583</v>
      </c>
      <c r="AX2" s="1">
        <v>0.94738450469449154</v>
      </c>
      <c r="AY2" s="1">
        <v>1.7558881533332169</v>
      </c>
      <c r="AZ2" s="1">
        <v>1.2191850080620497</v>
      </c>
      <c r="BA2" s="1">
        <v>1.9467050646577264</v>
      </c>
      <c r="BB2" s="1">
        <v>2.6199695002986116</v>
      </c>
      <c r="BD2" s="1">
        <v>0.65314941618999001</v>
      </c>
      <c r="BE2" s="1">
        <v>0.94562001625599801</v>
      </c>
      <c r="BF2" s="1">
        <v>1.8585372840258061</v>
      </c>
      <c r="BG2" s="1">
        <v>2.1761730896367224</v>
      </c>
      <c r="BH2" s="1">
        <v>1.4387084249567124</v>
      </c>
      <c r="BI2" s="1">
        <v>1.5186390363727695</v>
      </c>
      <c r="BJ2" s="1">
        <v>1.5618883859715424</v>
      </c>
      <c r="BK2" s="1">
        <v>1.9329773683915845</v>
      </c>
      <c r="BL2" s="1">
        <v>2.039720224676421</v>
      </c>
      <c r="BM2" s="1">
        <v>2.4355901405186158</v>
      </c>
      <c r="BO2" s="1">
        <v>1.0738788230592036</v>
      </c>
      <c r="BP2" s="1">
        <v>1.9190101314336061</v>
      </c>
      <c r="BQ2" s="1">
        <v>1.1900570866069757</v>
      </c>
      <c r="BR2" s="1">
        <v>0.84050849737541289</v>
      </c>
      <c r="BS2" s="1">
        <v>2.4903661298769295</v>
      </c>
      <c r="BT2" s="1">
        <v>2.0980735633987933</v>
      </c>
      <c r="BU2" s="1">
        <v>1.4367482814704999</v>
      </c>
      <c r="BV2" s="1">
        <v>2.1143415258615277</v>
      </c>
      <c r="BW2" s="1">
        <v>2.1014942416892155</v>
      </c>
      <c r="BX2" s="1">
        <v>0.64272642702853777</v>
      </c>
      <c r="BZ2" s="1">
        <v>0.75584046296717133</v>
      </c>
      <c r="CA2" s="1">
        <v>2.030463250167668</v>
      </c>
      <c r="CB2" s="1">
        <v>1.5067910039229901</v>
      </c>
      <c r="CC2" s="1">
        <v>1.2482520252058749</v>
      </c>
      <c r="CD2" s="1">
        <v>2.4334340352826986</v>
      </c>
      <c r="CE2" s="1">
        <v>0.76915628495626143</v>
      </c>
      <c r="CF2" s="1">
        <v>1.7788056008284912</v>
      </c>
      <c r="CG2" s="1">
        <v>1.7760922608198597</v>
      </c>
      <c r="CH2" s="1">
        <v>2.335933554096846</v>
      </c>
      <c r="CI2" s="1">
        <v>1.2713773503463017</v>
      </c>
    </row>
    <row r="3" spans="1:87" x14ac:dyDescent="0.3">
      <c r="A3" s="1">
        <v>0.7060024270467693</v>
      </c>
      <c r="B3" s="1">
        <v>1.6594753590936306</v>
      </c>
      <c r="C3" s="1">
        <v>0.51344532443326907</v>
      </c>
      <c r="D3" s="1">
        <v>3.0278944142162798</v>
      </c>
      <c r="E3" s="1">
        <v>1.249367430518032</v>
      </c>
      <c r="F3" s="1">
        <v>0.72509672362357369</v>
      </c>
      <c r="G3" s="1">
        <v>2.3637362043373287</v>
      </c>
      <c r="H3" s="1">
        <v>1.9305526555166579</v>
      </c>
      <c r="I3" s="1">
        <v>2.2249024409044069</v>
      </c>
      <c r="J3" s="1">
        <v>2.0974890094264991</v>
      </c>
      <c r="L3" s="1">
        <v>0.8954535840312019</v>
      </c>
      <c r="M3" s="1">
        <v>1.349346305988729</v>
      </c>
      <c r="N3" s="1">
        <v>1.3348575107025682</v>
      </c>
      <c r="O3" s="1">
        <v>1.9796085472160485</v>
      </c>
      <c r="P3" s="1">
        <v>0.55693978285416956</v>
      </c>
      <c r="Q3" s="1">
        <v>2.6479395081754773</v>
      </c>
      <c r="R3" s="1">
        <v>1.522333551896736</v>
      </c>
      <c r="S3" s="1">
        <v>0.5811308190226554</v>
      </c>
      <c r="T3" s="1">
        <v>1.3646375504700701</v>
      </c>
      <c r="U3" s="1">
        <v>2.0151525677618336</v>
      </c>
      <c r="W3" s="1">
        <v>0.56174178805667907</v>
      </c>
      <c r="X3" s="1">
        <v>0.84589255796454377</v>
      </c>
      <c r="Y3" s="1">
        <v>0.20454136069165552</v>
      </c>
      <c r="Z3" s="1">
        <v>1.843419673704193</v>
      </c>
      <c r="AA3" s="1">
        <v>1.3593226114782737</v>
      </c>
      <c r="AB3" s="1">
        <v>0.70808462522691107</v>
      </c>
      <c r="AC3" s="1">
        <v>1.921976437792182</v>
      </c>
      <c r="AD3" s="1">
        <v>1.3170666468562557</v>
      </c>
      <c r="AE3" s="1">
        <v>0.95733285383321354</v>
      </c>
      <c r="AF3" s="1">
        <v>1.1962615008058493</v>
      </c>
      <c r="AH3" s="1">
        <v>1.4477738002606202</v>
      </c>
      <c r="AI3" s="1">
        <v>1.0395965121744666</v>
      </c>
      <c r="AJ3" s="1">
        <v>1.6110044311441016</v>
      </c>
      <c r="AK3" s="1">
        <v>0.14210410527884965</v>
      </c>
      <c r="AL3" s="1">
        <v>1.8342901896350667</v>
      </c>
      <c r="AM3" s="1">
        <v>2.2347215043613686</v>
      </c>
      <c r="AN3" s="1">
        <v>0.90669476927723736</v>
      </c>
      <c r="AO3" s="1">
        <v>2.4557230906561016</v>
      </c>
      <c r="AP3" s="1">
        <v>1.8622482497827151</v>
      </c>
      <c r="AQ3" s="1">
        <v>1.7333274445234566</v>
      </c>
      <c r="AS3" s="1">
        <v>1.7780317901051603</v>
      </c>
      <c r="AT3" s="1">
        <v>0.43649374977685507</v>
      </c>
      <c r="AU3" s="1">
        <v>0.71807617536396739</v>
      </c>
      <c r="AV3" s="1">
        <v>1.0363897819013801</v>
      </c>
      <c r="AW3" s="1">
        <v>1.278431925328914</v>
      </c>
      <c r="AX3" s="1">
        <v>-0.38167829290032396</v>
      </c>
      <c r="AY3" s="1">
        <v>0.60695623839274049</v>
      </c>
      <c r="AZ3" s="1">
        <v>1.3077952578663825</v>
      </c>
      <c r="BA3" s="1">
        <v>1.1903988292411669</v>
      </c>
      <c r="BB3" s="1">
        <v>2.3623784318231627</v>
      </c>
      <c r="BD3" s="1">
        <v>0.87210912877344526</v>
      </c>
      <c r="BE3" s="1">
        <v>1.5806269432971021</v>
      </c>
      <c r="BF3" s="1">
        <v>0.57613429311604714</v>
      </c>
      <c r="BG3" s="1">
        <v>1.3910563358047512</v>
      </c>
      <c r="BH3" s="1">
        <v>1.3853741777158575</v>
      </c>
      <c r="BI3" s="1">
        <v>1.3271030901581979</v>
      </c>
      <c r="BJ3" s="1">
        <v>1.2385302776820026</v>
      </c>
      <c r="BK3" s="1">
        <v>1.8408350959129165</v>
      </c>
      <c r="BL3" s="1">
        <v>2.1391586910263869</v>
      </c>
      <c r="BM3" s="1">
        <v>1.0743105394765735</v>
      </c>
      <c r="BO3" s="1">
        <v>1.4709909262601286</v>
      </c>
      <c r="BP3" s="1">
        <v>0.82836750455608121</v>
      </c>
      <c r="BQ3" s="1">
        <v>1.9281927547504893</v>
      </c>
      <c r="BR3" s="1">
        <v>1.7184926183370408</v>
      </c>
      <c r="BS3" s="1">
        <v>1.5627088189095957</v>
      </c>
      <c r="BT3" s="1">
        <v>2.0258451321627944</v>
      </c>
      <c r="BU3" s="1">
        <v>1.268140241940273</v>
      </c>
      <c r="BV3" s="1">
        <v>2.0869580046331975</v>
      </c>
      <c r="BW3" s="1">
        <v>1.7165403773484287</v>
      </c>
      <c r="BX3" s="1">
        <v>1.5481745594996028</v>
      </c>
      <c r="BZ3" s="1">
        <v>1.2614149252622155</v>
      </c>
      <c r="CA3" s="1">
        <v>1.5943096089642494</v>
      </c>
      <c r="CB3" s="1">
        <v>1.4836130998824957</v>
      </c>
      <c r="CC3" s="1">
        <v>0.62298351268400443</v>
      </c>
      <c r="CD3" s="1">
        <v>2.28391606216901</v>
      </c>
      <c r="CE3" s="1">
        <v>2.3509458323009311</v>
      </c>
      <c r="CF3" s="1">
        <v>1.4940173438517377</v>
      </c>
      <c r="CG3" s="1">
        <v>2.4013953341403975</v>
      </c>
      <c r="CH3" s="1">
        <v>1.1650455275608693</v>
      </c>
      <c r="CI3" s="1">
        <v>1.3368568761477946</v>
      </c>
    </row>
    <row r="4" spans="1:87" x14ac:dyDescent="0.3">
      <c r="A4" s="1">
        <v>1.036963001548429</v>
      </c>
      <c r="B4" s="1">
        <v>0.83523850965430024</v>
      </c>
      <c r="C4" s="1">
        <v>1.9203826963726898</v>
      </c>
      <c r="D4" s="1">
        <v>0.76302523312624548</v>
      </c>
      <c r="E4" s="1">
        <v>1.927255668505677</v>
      </c>
      <c r="F4" s="1">
        <v>1.0363603713689371</v>
      </c>
      <c r="G4" s="1">
        <v>1.2967042872915044</v>
      </c>
      <c r="H4" s="1">
        <v>1.7613338902941904</v>
      </c>
      <c r="I4" s="1">
        <v>2.2656182449660265</v>
      </c>
      <c r="J4" s="1">
        <v>2.8988355825247707</v>
      </c>
      <c r="L4" s="1">
        <v>1.2659862730070017</v>
      </c>
      <c r="M4" s="1">
        <v>1.1498429588129511</v>
      </c>
      <c r="N4" s="1">
        <v>1.7501434780948331</v>
      </c>
      <c r="O4" s="1">
        <v>1.2923693394521252</v>
      </c>
      <c r="P4" s="1">
        <v>2.6007144399220121</v>
      </c>
      <c r="Q4" s="1">
        <v>1.8091698428965173</v>
      </c>
      <c r="R4" s="1">
        <v>1.888199623557739</v>
      </c>
      <c r="S4" s="1">
        <v>2.6878188625909387</v>
      </c>
      <c r="T4" s="1">
        <v>2.1755362053605496</v>
      </c>
      <c r="U4" s="1">
        <v>2.8278615718561921</v>
      </c>
      <c r="W4" s="1">
        <v>1.310342898046656</v>
      </c>
      <c r="X4" s="1">
        <v>0.82703191158652767</v>
      </c>
      <c r="Y4" s="1">
        <v>2.735608272306854</v>
      </c>
      <c r="Z4" s="1">
        <v>1.1957662228349364</v>
      </c>
      <c r="AA4" s="1">
        <v>2.1666283075493991</v>
      </c>
      <c r="AB4" s="1">
        <v>1.5354346750304102</v>
      </c>
      <c r="AC4" s="1">
        <v>1.9411995178088546</v>
      </c>
      <c r="AD4" s="1">
        <v>1.8993115125107578</v>
      </c>
      <c r="AE4" s="1">
        <v>1.2590122464112938</v>
      </c>
      <c r="AF4" s="1">
        <v>2.3339493327483067</v>
      </c>
      <c r="AH4" s="1">
        <v>0.87893488651025109</v>
      </c>
      <c r="AI4" s="1">
        <v>0.6835941379278665</v>
      </c>
      <c r="AJ4" s="1">
        <v>2.0989635726815323</v>
      </c>
      <c r="AK4" s="1">
        <v>1.786660383103299</v>
      </c>
      <c r="AL4" s="1">
        <v>2.0781925670409693</v>
      </c>
      <c r="AM4" s="1">
        <v>1.5692133082542568</v>
      </c>
      <c r="AN4" s="1">
        <v>1.0951957316719927</v>
      </c>
      <c r="AO4" s="1">
        <v>1.6934246493969112</v>
      </c>
      <c r="AP4" s="1">
        <v>1.9437435225350783</v>
      </c>
      <c r="AQ4" s="1">
        <v>1.841358021007909</v>
      </c>
      <c r="AS4" s="1">
        <v>0.93766437000886071</v>
      </c>
      <c r="AT4" s="1">
        <v>0.76751071295002471</v>
      </c>
      <c r="AU4" s="1">
        <v>0.53404719841782944</v>
      </c>
      <c r="AV4" s="1">
        <v>1.5347218241993688</v>
      </c>
      <c r="AW4" s="1">
        <v>2.8191541489097292</v>
      </c>
      <c r="AX4" s="1">
        <v>1.3055035004857927</v>
      </c>
      <c r="AY4" s="1">
        <v>0.70326081337407231</v>
      </c>
      <c r="AZ4" s="1">
        <v>1.6349582372407894</v>
      </c>
      <c r="BA4" s="1">
        <v>1.1760526871890762</v>
      </c>
      <c r="BB4" s="1">
        <v>1.8508030097989832</v>
      </c>
      <c r="BD4" s="1">
        <v>1.7978906069183722</v>
      </c>
      <c r="BE4" s="1">
        <v>1.5354828095325501</v>
      </c>
      <c r="BF4" s="1">
        <v>0.54015263635083111</v>
      </c>
      <c r="BG4" s="1">
        <v>1.1268299350456801</v>
      </c>
      <c r="BH4" s="1">
        <v>1.8143790768765029</v>
      </c>
      <c r="BI4" s="1">
        <v>0.56019805823452762</v>
      </c>
      <c r="BJ4" s="1">
        <v>0.75264637568034232</v>
      </c>
      <c r="BK4" s="1">
        <v>1.7556004356942139</v>
      </c>
      <c r="BL4" s="1">
        <v>2.5313589544035495</v>
      </c>
      <c r="BM4" s="1">
        <v>1.9543899088574108</v>
      </c>
      <c r="BO4" s="1">
        <v>1.2916817720688414</v>
      </c>
      <c r="BP4" s="1">
        <v>1.6563430593407247</v>
      </c>
      <c r="BQ4" s="1">
        <v>1.4495827639999335</v>
      </c>
      <c r="BR4" s="1">
        <v>1.430579564938671</v>
      </c>
      <c r="BS4" s="1">
        <v>0.98078545963217034</v>
      </c>
      <c r="BT4" s="1">
        <v>1.3711999407736584</v>
      </c>
      <c r="BU4" s="1">
        <v>1.1479982655728236</v>
      </c>
      <c r="BV4" s="1">
        <v>1.9412446752307004</v>
      </c>
      <c r="BW4" s="1">
        <v>2.1572996997216252</v>
      </c>
      <c r="BX4" s="1">
        <v>0.56215088079334241</v>
      </c>
      <c r="BZ4" s="1">
        <v>1.1944101768458495</v>
      </c>
      <c r="CA4" s="1">
        <v>1.5666414158942643</v>
      </c>
      <c r="CB4" s="1">
        <v>1.749212382893893</v>
      </c>
      <c r="CC4" s="1">
        <v>1.4970119001271087</v>
      </c>
      <c r="CD4" s="1">
        <v>1.0119349710468668</v>
      </c>
      <c r="CE4" s="1">
        <v>1.8924004315398633</v>
      </c>
      <c r="CF4" s="1">
        <v>1.6386333678965457</v>
      </c>
      <c r="CG4" s="1">
        <v>2.378150468552485</v>
      </c>
      <c r="CH4" s="1">
        <v>1.5795119265399991</v>
      </c>
      <c r="CI4" s="1">
        <v>2.0114711605827322</v>
      </c>
    </row>
    <row r="5" spans="1:87" x14ac:dyDescent="0.3">
      <c r="A5" s="1">
        <v>1.2339538696105592</v>
      </c>
      <c r="B5" s="1">
        <v>1.7001747922506183</v>
      </c>
      <c r="C5" s="1">
        <v>1.8040085291810102</v>
      </c>
      <c r="D5" s="1">
        <v>1.7585012902680319</v>
      </c>
      <c r="E5" s="1">
        <v>1.7666345840727444</v>
      </c>
      <c r="F5" s="1">
        <v>0.76371204967144868</v>
      </c>
      <c r="G5" s="1">
        <v>1.8089080564677715</v>
      </c>
      <c r="H5" s="1">
        <v>1.3015906850108876</v>
      </c>
      <c r="I5" s="1">
        <v>2.4395250006287825</v>
      </c>
      <c r="J5" s="1">
        <v>2.6693789368408032</v>
      </c>
      <c r="L5" s="1">
        <v>0.80859797688026447</v>
      </c>
      <c r="M5" s="1">
        <v>0.18745954851619895</v>
      </c>
      <c r="N5" s="1">
        <v>0.62494755588122664</v>
      </c>
      <c r="O5" s="1">
        <v>1.7157845978625119</v>
      </c>
      <c r="P5" s="1">
        <v>3.0749777281191202</v>
      </c>
      <c r="Q5" s="1">
        <v>0.54388536126352838</v>
      </c>
      <c r="R5" s="1">
        <v>1.6357129804091528</v>
      </c>
      <c r="S5" s="1">
        <v>1.94149069354753</v>
      </c>
      <c r="T5" s="1">
        <v>1.4331520600913792</v>
      </c>
      <c r="U5" s="1">
        <v>1.43777634093276</v>
      </c>
      <c r="W5" s="1">
        <v>0.78709581682778662</v>
      </c>
      <c r="X5" s="1">
        <v>0.75207158564007837</v>
      </c>
      <c r="Y5" s="1">
        <v>0.62310764809954</v>
      </c>
      <c r="Z5" s="1">
        <v>0.89301476337714125</v>
      </c>
      <c r="AA5" s="1">
        <v>0.25823170946678142</v>
      </c>
      <c r="AB5" s="1">
        <v>0.64708208709489545</v>
      </c>
      <c r="AC5" s="1">
        <v>1.8833765731542371</v>
      </c>
      <c r="AD5" s="1">
        <v>2.5655573088210075</v>
      </c>
      <c r="AE5" s="1">
        <v>2.9100725482217968</v>
      </c>
      <c r="AF5" s="1">
        <v>1.6122390252319747</v>
      </c>
      <c r="AH5" s="1">
        <v>0.98395196598721668</v>
      </c>
      <c r="AI5" s="1">
        <v>1.7531428541871719</v>
      </c>
      <c r="AJ5" s="1">
        <v>1.7400215978719644</v>
      </c>
      <c r="AK5" s="1">
        <v>1.6693435246532318</v>
      </c>
      <c r="AL5" s="1">
        <v>2.5801507647149262</v>
      </c>
      <c r="AM5" s="1">
        <v>1.7404456947464495</v>
      </c>
      <c r="AN5" s="1">
        <v>1.5765503500588238</v>
      </c>
      <c r="AO5" s="1">
        <v>2.1694787326618097</v>
      </c>
      <c r="AP5" s="1">
        <v>1.3512190930137877</v>
      </c>
      <c r="AQ5" s="1">
        <v>1.211693124784506</v>
      </c>
      <c r="AS5" s="1">
        <v>0.8550379132211674</v>
      </c>
      <c r="AT5" s="1">
        <v>1.2330869625031482</v>
      </c>
      <c r="AU5" s="1">
        <v>0.95703817754983911</v>
      </c>
      <c r="AV5" s="1">
        <v>0.94018684295297139</v>
      </c>
      <c r="AW5" s="1">
        <v>1.4782688296865671</v>
      </c>
      <c r="AX5" s="1">
        <v>2.0608552212128415</v>
      </c>
      <c r="AY5" s="1">
        <v>0.9722184055717662</v>
      </c>
      <c r="AZ5" s="1">
        <v>1.6114755387883632</v>
      </c>
      <c r="BA5" s="1">
        <v>1.108153223359841</v>
      </c>
      <c r="BB5" s="1">
        <v>3.2137749531073494</v>
      </c>
      <c r="BD5" s="1">
        <v>0.32029368210351095</v>
      </c>
      <c r="BE5" s="1">
        <v>1.6405028448672965</v>
      </c>
      <c r="BF5" s="1">
        <v>2.3211244792415529</v>
      </c>
      <c r="BG5" s="1">
        <v>1.0045460986555554</v>
      </c>
      <c r="BH5" s="1">
        <v>2.0736158760148102</v>
      </c>
      <c r="BI5" s="1">
        <v>-0.43690281119197616</v>
      </c>
      <c r="BJ5" s="1">
        <v>1.4711963027948514</v>
      </c>
      <c r="BK5" s="1">
        <v>2.1530778147047385</v>
      </c>
      <c r="BL5" s="1">
        <v>1.7282853645534488</v>
      </c>
      <c r="BM5" s="1">
        <v>2.0844321898010092</v>
      </c>
      <c r="BO5" s="1">
        <v>0.92674020177219063</v>
      </c>
      <c r="BP5" s="1">
        <v>0.4424391166423447</v>
      </c>
      <c r="BQ5" s="1">
        <v>1.9368845682416578</v>
      </c>
      <c r="BR5" s="1">
        <v>1.4890174416985247</v>
      </c>
      <c r="BS5" s="1">
        <v>1.9581361968623241</v>
      </c>
      <c r="BT5" s="1">
        <v>1.9963502189842983</v>
      </c>
      <c r="BU5" s="1">
        <v>1.4848650986677967</v>
      </c>
      <c r="BV5" s="1">
        <v>1.3194440660066902</v>
      </c>
      <c r="BW5" s="1">
        <v>1.7839327978814254</v>
      </c>
      <c r="BX5" s="1">
        <v>2.6337231065524973</v>
      </c>
      <c r="BZ5" s="1">
        <v>1.0678130618325667</v>
      </c>
      <c r="CA5" s="1">
        <v>2.5529473833739713E-2</v>
      </c>
      <c r="CB5" s="1">
        <v>1.4020181237734506</v>
      </c>
      <c r="CC5" s="1">
        <v>0.70867155601154086</v>
      </c>
      <c r="CD5" s="1">
        <v>2.5033664471440717</v>
      </c>
      <c r="CE5" s="1">
        <v>0.26443583818618199</v>
      </c>
      <c r="CF5" s="1">
        <v>1.6941562004503794</v>
      </c>
      <c r="CG5" s="1">
        <v>2.4101064743939786</v>
      </c>
      <c r="CH5" s="1">
        <v>2.1965171112620738</v>
      </c>
      <c r="CI5" s="1">
        <v>2.0635183591337407</v>
      </c>
    </row>
    <row r="6" spans="1:87" x14ac:dyDescent="0.3">
      <c r="A6" s="1">
        <v>0.83493012223334517</v>
      </c>
      <c r="B6" s="1">
        <v>0.84796688800561237</v>
      </c>
      <c r="C6" s="1">
        <v>2.4132758466672386</v>
      </c>
      <c r="D6" s="1">
        <v>1.433787807499175</v>
      </c>
      <c r="E6" s="1">
        <v>1.7092377376859076</v>
      </c>
      <c r="F6" s="1">
        <v>1.8871599230682476</v>
      </c>
      <c r="G6" s="1">
        <v>2.1360260158544406</v>
      </c>
      <c r="H6" s="1">
        <v>1.1647462931927293</v>
      </c>
      <c r="I6" s="1">
        <v>1.6577892933506519</v>
      </c>
      <c r="J6" s="1">
        <v>2.5772046046738977</v>
      </c>
      <c r="L6" s="1">
        <v>1.6621098691539373</v>
      </c>
      <c r="M6" s="1">
        <v>1.2472559804620686</v>
      </c>
      <c r="N6" s="1">
        <v>2.5050197604665301</v>
      </c>
      <c r="O6" s="1">
        <v>0.99289660839422145</v>
      </c>
      <c r="P6" s="1">
        <v>0.61165316512342538</v>
      </c>
      <c r="Q6" s="1">
        <v>1.3240917532006278</v>
      </c>
      <c r="R6" s="1">
        <v>1.8453797035035677</v>
      </c>
      <c r="S6" s="1">
        <v>1.7388793756021186</v>
      </c>
      <c r="T6" s="1">
        <v>1.2469432517187671</v>
      </c>
      <c r="U6" s="1">
        <v>1.0365981142938836</v>
      </c>
      <c r="W6" s="1">
        <v>0.82496035499934806</v>
      </c>
      <c r="X6" s="1">
        <v>1.2709644609742099</v>
      </c>
      <c r="Y6" s="1">
        <v>1.006013785119285</v>
      </c>
      <c r="Z6" s="1">
        <v>1.5594435954961228</v>
      </c>
      <c r="AA6" s="1">
        <v>1.2651307926891604</v>
      </c>
      <c r="AB6" s="1">
        <v>1.8054072633152827</v>
      </c>
      <c r="AC6" s="1">
        <v>1.422421011433471</v>
      </c>
      <c r="AD6" s="1">
        <v>1.8579249561065807</v>
      </c>
      <c r="AE6" s="1">
        <v>2.2671984920103569</v>
      </c>
      <c r="AF6" s="1">
        <v>2.2464816356630761</v>
      </c>
      <c r="AH6" s="1">
        <v>1.0469435690320097</v>
      </c>
      <c r="AI6" s="1">
        <v>0.96819208313827398</v>
      </c>
      <c r="AJ6" s="1">
        <v>0.93323238110460816</v>
      </c>
      <c r="AK6" s="1">
        <v>1.3506713604409015</v>
      </c>
      <c r="AL6" s="1">
        <v>1.9997084038725006</v>
      </c>
      <c r="AM6" s="1">
        <v>1.3470546754309907</v>
      </c>
      <c r="AN6" s="1">
        <v>1.7087108441628516</v>
      </c>
      <c r="AO6" s="1">
        <v>2.0344815245829522</v>
      </c>
      <c r="AP6" s="1">
        <v>1.3118027295073262</v>
      </c>
      <c r="AQ6" s="1">
        <v>2.0977069470944114</v>
      </c>
      <c r="AS6" s="1">
        <v>1.1005230387818301</v>
      </c>
      <c r="AT6" s="1">
        <v>1.2532436388311907</v>
      </c>
      <c r="AU6" s="1">
        <v>0.54233951636124411</v>
      </c>
      <c r="AV6" s="1">
        <v>1.7412424914335134</v>
      </c>
      <c r="AW6" s="1">
        <v>3.0573553587775679</v>
      </c>
      <c r="AX6" s="1">
        <v>1.0366323102847672</v>
      </c>
      <c r="AY6" s="1">
        <v>1.867920620192308</v>
      </c>
      <c r="AZ6" s="1">
        <v>1.8707974893681238</v>
      </c>
      <c r="BA6" s="1">
        <v>1.9173761342623039</v>
      </c>
      <c r="BB6" s="1">
        <v>2.1488987658784025</v>
      </c>
      <c r="BD6" s="1">
        <v>0.40503812467795797</v>
      </c>
      <c r="BE6" s="1">
        <v>0.83545883474580473</v>
      </c>
      <c r="BF6" s="1">
        <v>1.1541661519382616</v>
      </c>
      <c r="BG6" s="1">
        <v>1.3779414222051856</v>
      </c>
      <c r="BH6" s="1">
        <v>1.4250515662017278</v>
      </c>
      <c r="BI6" s="1">
        <v>2.2475926733808591</v>
      </c>
      <c r="BJ6" s="1">
        <v>1.0102716638939455</v>
      </c>
      <c r="BK6" s="1">
        <v>2.0420175976818427</v>
      </c>
      <c r="BL6" s="1">
        <v>0.31120962779968986</v>
      </c>
      <c r="BM6" s="1">
        <v>1.3572529769560788</v>
      </c>
      <c r="BO6" s="1">
        <v>0.3173923940048553</v>
      </c>
      <c r="BP6" s="1">
        <v>1.1404863046947866</v>
      </c>
      <c r="BQ6" s="1">
        <v>1.7298201368626906</v>
      </c>
      <c r="BR6" s="1">
        <v>0.9629594534169883</v>
      </c>
      <c r="BS6" s="1">
        <v>1.5402527126017957</v>
      </c>
      <c r="BT6" s="1">
        <v>1.4891359377419575</v>
      </c>
      <c r="BU6" s="1">
        <v>1.2427212292677723</v>
      </c>
      <c r="BV6" s="1">
        <v>1.6705608620890415</v>
      </c>
      <c r="BW6" s="1">
        <v>1.9098796241829405</v>
      </c>
      <c r="BX6" s="1">
        <v>3.1017242963542229</v>
      </c>
      <c r="BZ6" s="1">
        <v>0.60389345687872265</v>
      </c>
      <c r="CA6" s="1">
        <v>0.99126960170106027</v>
      </c>
      <c r="CB6" s="1">
        <v>2.1776450962002856</v>
      </c>
      <c r="CC6" s="1">
        <v>2.268288986769039</v>
      </c>
      <c r="CD6" s="1">
        <v>2.8265201464993881</v>
      </c>
      <c r="CE6" s="1">
        <v>1.4755389919504522</v>
      </c>
      <c r="CF6" s="1">
        <v>1.2984086803626269</v>
      </c>
      <c r="CG6" s="1">
        <v>2.2260993253206833</v>
      </c>
      <c r="CH6" s="1">
        <v>1.1244593264942524</v>
      </c>
      <c r="CI6" s="1">
        <v>1.7699419959142688</v>
      </c>
    </row>
    <row r="7" spans="1:87" x14ac:dyDescent="0.3">
      <c r="A7" s="1">
        <v>1.4330593128543114</v>
      </c>
      <c r="B7" s="1">
        <v>2.0387987691094169</v>
      </c>
      <c r="C7" s="1">
        <v>0.42025622355286041</v>
      </c>
      <c r="D7" s="1">
        <v>1.8907895683776588</v>
      </c>
      <c r="E7" s="1">
        <v>2.2694801075151192</v>
      </c>
      <c r="F7" s="1">
        <v>0.77398843030678099</v>
      </c>
      <c r="G7" s="1">
        <v>1.4907431629253551</v>
      </c>
      <c r="H7" s="1">
        <v>1.7412654349522199</v>
      </c>
      <c r="I7" s="1">
        <v>1.0031713868025691</v>
      </c>
      <c r="J7" s="1">
        <v>0.35736723475274634</v>
      </c>
      <c r="L7" s="1">
        <v>0.55932139528158586</v>
      </c>
      <c r="M7" s="1">
        <v>1.6118537617614492</v>
      </c>
      <c r="N7" s="1">
        <v>1.7392568265146111</v>
      </c>
      <c r="O7" s="1">
        <v>0.69282815830665645</v>
      </c>
      <c r="P7" s="1">
        <v>2.4134306088119049</v>
      </c>
      <c r="Q7" s="1">
        <v>0.6394241417059674</v>
      </c>
      <c r="R7" s="1">
        <v>1.5330082912114449</v>
      </c>
      <c r="S7" s="1">
        <v>2.2059885784750803</v>
      </c>
      <c r="T7" s="1">
        <v>2.1331094143912197</v>
      </c>
      <c r="U7" s="1">
        <v>1.828335989554762</v>
      </c>
      <c r="W7" s="1">
        <v>1.2672652499313699</v>
      </c>
      <c r="X7" s="1">
        <v>0.80625927997170943</v>
      </c>
      <c r="Y7" s="1">
        <v>1.8311543312316645</v>
      </c>
      <c r="Z7" s="1">
        <v>0.96079599289514594</v>
      </c>
      <c r="AA7" s="1">
        <v>0.69645763434818941</v>
      </c>
      <c r="AB7" s="1">
        <v>1.4980708136921748</v>
      </c>
      <c r="AC7" s="1">
        <v>1.6980552042368799</v>
      </c>
      <c r="AD7" s="1">
        <v>1.6394766069191973</v>
      </c>
      <c r="AE7" s="1">
        <v>1.8700932100196952</v>
      </c>
      <c r="AF7" s="1">
        <v>0.28829429538454865</v>
      </c>
      <c r="AH7" s="1">
        <v>1.6082927939132787</v>
      </c>
      <c r="AI7" s="1">
        <v>0.91720626490423451</v>
      </c>
      <c r="AJ7" s="1">
        <v>1.6565286200071569</v>
      </c>
      <c r="AK7" s="1">
        <v>0.94919709327659807</v>
      </c>
      <c r="AL7" s="1">
        <v>2.1272962996765274</v>
      </c>
      <c r="AM7" s="1">
        <v>1.8948433343088253</v>
      </c>
      <c r="AN7" s="1">
        <v>1.4109131749719381</v>
      </c>
      <c r="AO7" s="1">
        <v>1.3477893778821453</v>
      </c>
      <c r="AP7" s="1">
        <v>1.187180354865268</v>
      </c>
      <c r="AQ7" s="1">
        <v>2.9645504400803473</v>
      </c>
      <c r="AS7" s="1">
        <v>1.2640058482938912</v>
      </c>
      <c r="AT7" s="1">
        <v>0.63301963867270383</v>
      </c>
      <c r="AU7" s="1">
        <v>1.4020181237734506</v>
      </c>
      <c r="AV7" s="1">
        <v>1.143509499442007</v>
      </c>
      <c r="AW7" s="1">
        <v>2.4219441613415258</v>
      </c>
      <c r="AX7" s="1">
        <v>0.93917358652688554</v>
      </c>
      <c r="AY7" s="1">
        <v>0.94539922580588609</v>
      </c>
      <c r="AZ7" s="1">
        <v>1.9954346432990859</v>
      </c>
      <c r="BA7" s="1">
        <v>1.98125676837808</v>
      </c>
      <c r="BB7" s="1">
        <v>1.9939573621712043</v>
      </c>
      <c r="BD7" s="1">
        <v>0.62849244639073731</v>
      </c>
      <c r="BE7" s="1">
        <v>1.5786644811043515</v>
      </c>
      <c r="BF7" s="1">
        <v>1.4951077486708528</v>
      </c>
      <c r="BG7" s="1">
        <v>0.82156599647423723</v>
      </c>
      <c r="BH7" s="1">
        <v>1.5669098886239226</v>
      </c>
      <c r="BI7" s="1">
        <v>1.776443495042622</v>
      </c>
      <c r="BJ7" s="1">
        <v>1.8533559720381163</v>
      </c>
      <c r="BK7" s="1">
        <v>1.6179465935914776</v>
      </c>
      <c r="BL7" s="1">
        <v>1.9159738071190078</v>
      </c>
      <c r="BM7" s="1">
        <v>1.6141380501692766</v>
      </c>
      <c r="BO7" s="1">
        <v>1.4751802862301702</v>
      </c>
      <c r="BP7" s="1">
        <v>1.0742632669745944</v>
      </c>
      <c r="BQ7" s="1">
        <v>2.9584058251581156</v>
      </c>
      <c r="BR7" s="1">
        <v>0.57452563497354281</v>
      </c>
      <c r="BS7" s="1">
        <v>2.4998601176950617</v>
      </c>
      <c r="BT7" s="1">
        <v>2.0386417226167395</v>
      </c>
      <c r="BU7" s="1">
        <v>1.0693297023535706</v>
      </c>
      <c r="BV7" s="1">
        <v>2.2828927219728938</v>
      </c>
      <c r="BW7" s="1">
        <v>1.8188664893765236</v>
      </c>
      <c r="BX7" s="1">
        <v>2.8370354175393002</v>
      </c>
      <c r="BZ7" s="1">
        <v>1.3052116426260909</v>
      </c>
      <c r="CA7" s="1">
        <v>1.2320760591421276</v>
      </c>
      <c r="CB7" s="1">
        <v>0.87604721960960896</v>
      </c>
      <c r="CC7" s="1">
        <v>1.1525231603707653</v>
      </c>
      <c r="CD7" s="1">
        <v>1.802888407127466</v>
      </c>
      <c r="CE7" s="1">
        <v>1.8235353117110207</v>
      </c>
      <c r="CF7" s="1">
        <v>1.9850353434449062</v>
      </c>
      <c r="CG7" s="1">
        <v>2.2191098585375584</v>
      </c>
      <c r="CH7" s="1">
        <v>1.4930678657416139</v>
      </c>
      <c r="CI7" s="1">
        <v>1.3966229562327499</v>
      </c>
    </row>
    <row r="8" spans="1:87" x14ac:dyDescent="0.3">
      <c r="A8" s="1">
        <v>1.2195400838900241</v>
      </c>
      <c r="B8" s="1">
        <v>1.1476779066753806</v>
      </c>
      <c r="C8" s="1">
        <v>1.7827007736210363</v>
      </c>
      <c r="D8" s="1">
        <v>1.1329900563476258</v>
      </c>
      <c r="E8" s="1">
        <v>-8.7066139513626517E-2</v>
      </c>
      <c r="F8" s="1">
        <v>1.2283446984714828</v>
      </c>
      <c r="G8" s="1">
        <v>1.8864888640237041</v>
      </c>
      <c r="H8" s="1">
        <v>2.7124698069877922</v>
      </c>
      <c r="I8" s="1">
        <v>1.2916488953502268</v>
      </c>
      <c r="J8" s="1">
        <v>1.9258165411854862</v>
      </c>
      <c r="L8" s="1">
        <v>1.1623658363314462</v>
      </c>
      <c r="M8" s="1">
        <v>1.165349616104504</v>
      </c>
      <c r="N8" s="1">
        <v>1.1496968949737494</v>
      </c>
      <c r="O8" s="1">
        <v>1.0225745573814493</v>
      </c>
      <c r="P8" s="1">
        <v>1.1801719367387704</v>
      </c>
      <c r="Q8" s="1">
        <v>1.0507567630033008</v>
      </c>
      <c r="R8" s="1">
        <v>0.99120228848187253</v>
      </c>
      <c r="S8" s="1">
        <v>1.6807317413389682</v>
      </c>
      <c r="T8" s="1">
        <v>0.99704366624937402</v>
      </c>
      <c r="U8" s="1">
        <v>3.1273324839246923</v>
      </c>
      <c r="W8" s="1">
        <v>0.4015297488658689</v>
      </c>
      <c r="X8" s="1">
        <v>0.63402372082346115</v>
      </c>
      <c r="Y8" s="1">
        <v>1.7814266852306901</v>
      </c>
      <c r="Z8" s="1">
        <v>1.805431216879515</v>
      </c>
      <c r="AA8" s="1">
        <v>0.72296440268401063</v>
      </c>
      <c r="AB8" s="1">
        <v>1.6158376446459441</v>
      </c>
      <c r="AC8" s="1">
        <v>1.6261569195776246</v>
      </c>
      <c r="AD8" s="1">
        <v>1.8810979716130531</v>
      </c>
      <c r="AE8" s="1">
        <v>2.8038617569487543</v>
      </c>
      <c r="AF8" s="1">
        <v>1.7242804733512458</v>
      </c>
      <c r="AH8" s="1">
        <v>1.2298645540577127</v>
      </c>
      <c r="AI8" s="1">
        <v>1.6860207809542771</v>
      </c>
      <c r="AJ8" s="1">
        <v>1.2232319290356828</v>
      </c>
      <c r="AK8" s="1">
        <v>1.3246234321821249</v>
      </c>
      <c r="AL8" s="1">
        <v>1.3543710949481464</v>
      </c>
      <c r="AM8" s="1">
        <v>2.7462558854371308</v>
      </c>
      <c r="AN8" s="1">
        <v>1.4817105162946973</v>
      </c>
      <c r="AO8" s="1">
        <v>2.2803843355854041</v>
      </c>
      <c r="AP8" s="1">
        <v>1.7041553332470358</v>
      </c>
      <c r="AQ8" s="1">
        <v>2.1870757154800229</v>
      </c>
      <c r="AS8" s="1">
        <v>0.44511500871158205</v>
      </c>
      <c r="AT8" s="1">
        <v>0.54415563984657633</v>
      </c>
      <c r="AU8" s="1">
        <v>1.3521528030119954</v>
      </c>
      <c r="AV8" s="1">
        <v>1.3249679033004214</v>
      </c>
      <c r="AW8" s="1">
        <v>1.9258454969705781</v>
      </c>
      <c r="AX8" s="1">
        <v>2.4357216524425893</v>
      </c>
      <c r="AY8" s="1">
        <v>1.3746147866768297</v>
      </c>
      <c r="AZ8" s="1">
        <v>1.8677593223168514</v>
      </c>
      <c r="BA8" s="1">
        <v>1.1772566308005481</v>
      </c>
      <c r="BB8" s="1">
        <v>2.0315541678399311</v>
      </c>
      <c r="BD8" s="1">
        <v>1.1618013811821584</v>
      </c>
      <c r="BE8" s="1">
        <v>0.16482677286257963</v>
      </c>
      <c r="BF8" s="1">
        <v>1.2605879459821154</v>
      </c>
      <c r="BG8" s="1">
        <v>1.7276853360352107</v>
      </c>
      <c r="BH8" s="1">
        <v>0.68525584285380314</v>
      </c>
      <c r="BI8" s="1">
        <v>0.1316150509286671</v>
      </c>
      <c r="BJ8" s="1">
        <v>1.5589479896007106</v>
      </c>
      <c r="BK8" s="1">
        <v>2.1214405867562163</v>
      </c>
      <c r="BL8" s="1">
        <v>1.5992542143445463</v>
      </c>
      <c r="BM8" s="1">
        <v>2.5525070486735784</v>
      </c>
      <c r="BO8" s="1">
        <v>1.3686403715619235</v>
      </c>
      <c r="BP8" s="1">
        <v>0.98060600369644813</v>
      </c>
      <c r="BQ8" s="1">
        <v>2.05115939428797</v>
      </c>
      <c r="BR8" s="1">
        <v>1.2971885245031445</v>
      </c>
      <c r="BS8" s="1">
        <v>2.3731165740347935</v>
      </c>
      <c r="BT8" s="1">
        <v>0.66341115497052661</v>
      </c>
      <c r="BU8" s="1">
        <v>0.9568515830906108</v>
      </c>
      <c r="BV8" s="1">
        <v>1.7871226125629618</v>
      </c>
      <c r="BW8" s="1">
        <v>1.8721310465858552</v>
      </c>
      <c r="BX8" s="1">
        <v>2.8581804872344945</v>
      </c>
      <c r="BZ8" s="1">
        <v>0.79702124619507231</v>
      </c>
      <c r="CA8" s="1">
        <v>0.77409045237000096</v>
      </c>
      <c r="CB8" s="1">
        <v>2.4883555437932956</v>
      </c>
      <c r="CC8" s="1">
        <v>0.59516206975677055</v>
      </c>
      <c r="CD8" s="1">
        <v>2.6398490874445995</v>
      </c>
      <c r="CE8" s="1">
        <v>2.0951231625862419</v>
      </c>
      <c r="CF8" s="1">
        <v>1.776042555924505</v>
      </c>
      <c r="CG8" s="1">
        <v>2.9379735613241791</v>
      </c>
      <c r="CH8" s="1">
        <v>1.7055627762980294</v>
      </c>
      <c r="CI8" s="1">
        <v>0.53499973546131518</v>
      </c>
    </row>
    <row r="9" spans="1:87" x14ac:dyDescent="0.3">
      <c r="A9" s="1">
        <v>2.0568146535661072</v>
      </c>
      <c r="B9" s="1">
        <v>1.6560361048788763</v>
      </c>
      <c r="C9" s="1">
        <v>1.5018180005805335</v>
      </c>
      <c r="D9" s="1">
        <v>1.7854950930166524</v>
      </c>
      <c r="E9" s="1">
        <v>2.116571992900572</v>
      </c>
      <c r="F9" s="1">
        <v>-9.3310264777392238E-2</v>
      </c>
      <c r="G9" s="1">
        <v>0.88436485535930842</v>
      </c>
      <c r="H9" s="1">
        <v>1.6471086317091248</v>
      </c>
      <c r="I9" s="1">
        <v>3.0722536434419454</v>
      </c>
      <c r="J9" s="1">
        <v>1.946290403790772</v>
      </c>
      <c r="L9" s="1">
        <v>1.0665778543407214</v>
      </c>
      <c r="M9" s="1">
        <v>1.8519371709146071</v>
      </c>
      <c r="N9" s="1">
        <v>2.0833466391573894</v>
      </c>
      <c r="O9" s="1">
        <v>2.0923358680272939</v>
      </c>
      <c r="P9" s="1">
        <v>1.003376853276859</v>
      </c>
      <c r="Q9" s="1">
        <v>0.68566103335469952</v>
      </c>
      <c r="R9" s="1">
        <v>0.9049430824816227</v>
      </c>
      <c r="S9" s="1">
        <v>1.5199521774542517</v>
      </c>
      <c r="T9" s="1">
        <v>1.5735382516519167</v>
      </c>
      <c r="U9" s="1">
        <v>1.2174781932088081</v>
      </c>
      <c r="W9" s="1">
        <v>1.8740494195080828</v>
      </c>
      <c r="X9" s="1">
        <v>1.1241795194393489</v>
      </c>
      <c r="Y9" s="1">
        <v>2.1274073373584543</v>
      </c>
      <c r="Z9" s="1">
        <v>0.9260680745763239</v>
      </c>
      <c r="AA9" s="1">
        <v>2.3498519269371174</v>
      </c>
      <c r="AB9" s="1">
        <v>-1.1453045964241029</v>
      </c>
      <c r="AC9" s="1">
        <v>1.4451629264513031</v>
      </c>
      <c r="AD9" s="1">
        <v>1.7871862771920859</v>
      </c>
      <c r="AE9" s="1">
        <v>1.7894693468784681</v>
      </c>
      <c r="AF9" s="1">
        <v>1.9114408405555878</v>
      </c>
      <c r="AH9" s="1">
        <v>1.0194165750144748</v>
      </c>
      <c r="AI9" s="1">
        <v>0.1855496096424758</v>
      </c>
      <c r="AJ9" s="1">
        <v>1.9755305897357176</v>
      </c>
      <c r="AK9" s="1">
        <v>0.75830381875566677</v>
      </c>
      <c r="AL9" s="1">
        <v>1.6930653302726568</v>
      </c>
      <c r="AM9" s="1">
        <v>2.8964607544243335</v>
      </c>
      <c r="AN9" s="1">
        <v>0.87880420475266874</v>
      </c>
      <c r="AO9" s="1">
        <v>2.2502027539070695</v>
      </c>
      <c r="AP9" s="1">
        <v>1.9931302217097255</v>
      </c>
      <c r="AQ9" s="1">
        <v>1.080961219483288</v>
      </c>
      <c r="AS9" s="1">
        <v>0.45761487651907373</v>
      </c>
      <c r="AT9" s="1">
        <v>1.1875833509577205</v>
      </c>
      <c r="AU9" s="1">
        <v>0.92509604150254754</v>
      </c>
      <c r="AV9" s="1">
        <v>1.2198507794062607</v>
      </c>
      <c r="AW9" s="1">
        <v>1.3094795733370119</v>
      </c>
      <c r="AX9" s="1">
        <v>1.4711761458660475</v>
      </c>
      <c r="AY9" s="1">
        <v>1.3800994944758713</v>
      </c>
      <c r="AZ9" s="1">
        <v>2.4028077794122509</v>
      </c>
      <c r="BA9" s="1">
        <v>1.3756481207034086</v>
      </c>
      <c r="BB9" s="1">
        <v>0.50237661525607114</v>
      </c>
      <c r="BD9" s="1">
        <v>1.6034315447323024</v>
      </c>
      <c r="BE9" s="1">
        <v>-0.35964517034590249</v>
      </c>
      <c r="BF9" s="1">
        <v>2.3907719918875956</v>
      </c>
      <c r="BG9" s="1">
        <v>2.2782070264918728</v>
      </c>
      <c r="BH9" s="1">
        <v>1.8398027507093502</v>
      </c>
      <c r="BI9" s="1">
        <v>2.0462450983235612</v>
      </c>
      <c r="BJ9" s="1">
        <v>1.1723190633929335</v>
      </c>
      <c r="BK9" s="1">
        <v>1.7831681295996531</v>
      </c>
      <c r="BL9" s="1">
        <v>1.8635658802319086</v>
      </c>
      <c r="BM9" s="1">
        <v>0.46918460611486812</v>
      </c>
      <c r="BO9" s="1">
        <v>0.48575577946030535</v>
      </c>
      <c r="BP9" s="1">
        <v>1.6114472176297567</v>
      </c>
      <c r="BQ9" s="1">
        <v>1.4737196165166098</v>
      </c>
      <c r="BR9" s="1">
        <v>2.380061338143423</v>
      </c>
      <c r="BS9" s="1">
        <v>2.6217030765285014</v>
      </c>
      <c r="BT9" s="1">
        <v>1.519382093544118</v>
      </c>
      <c r="BU9" s="1">
        <v>2.6411320883780718</v>
      </c>
      <c r="BV9" s="1">
        <v>2.2367531462572514</v>
      </c>
      <c r="BW9" s="1">
        <v>1.5942053818813293</v>
      </c>
      <c r="BX9" s="1">
        <v>1.6381981640704908</v>
      </c>
      <c r="BZ9" s="1">
        <v>0.66372683957160916</v>
      </c>
      <c r="CA9" s="1">
        <v>1.3742901076795533</v>
      </c>
      <c r="CB9" s="1">
        <v>1.4460732513194672</v>
      </c>
      <c r="CC9" s="1">
        <v>1.7948958576278529</v>
      </c>
      <c r="CD9" s="1">
        <v>1.1611409874778473</v>
      </c>
      <c r="CE9" s="1">
        <v>2.8947072486393153</v>
      </c>
      <c r="CF9" s="1">
        <v>1.428212673694361</v>
      </c>
      <c r="CG9" s="1">
        <v>1.0756194503977894</v>
      </c>
      <c r="CH9" s="1">
        <v>0.9349376836704324</v>
      </c>
      <c r="CI9" s="1">
        <v>1.9042980102283764</v>
      </c>
    </row>
    <row r="10" spans="1:87" x14ac:dyDescent="0.3">
      <c r="A10" s="1">
        <v>1.115950911094842</v>
      </c>
      <c r="B10" s="1">
        <v>1.1086530806380324</v>
      </c>
      <c r="C10" s="1">
        <v>2.144493332199636</v>
      </c>
      <c r="D10" s="1">
        <v>1.3371164787793532</v>
      </c>
      <c r="E10" s="1">
        <v>1.2344412582198856</v>
      </c>
      <c r="F10" s="1">
        <v>1.3121564542292616</v>
      </c>
      <c r="G10" s="1">
        <v>1.500596628524363</v>
      </c>
      <c r="H10" s="1">
        <v>2.0685493771219625</v>
      </c>
      <c r="I10" s="1">
        <v>1.4970560000088882</v>
      </c>
      <c r="J10" s="1">
        <v>2.3972024155198595</v>
      </c>
      <c r="L10" s="1">
        <v>0.71022020872624125</v>
      </c>
      <c r="M10" s="1">
        <v>0.88456404531025323</v>
      </c>
      <c r="N10" s="1">
        <v>-0.11830834005959323</v>
      </c>
      <c r="O10" s="1">
        <v>1.8123649771121564</v>
      </c>
      <c r="P10" s="1">
        <v>1.1463294115121243</v>
      </c>
      <c r="Q10" s="1">
        <v>0.52230850895866743</v>
      </c>
      <c r="R10" s="1">
        <v>1.4276842572726309</v>
      </c>
      <c r="S10" s="1">
        <v>1.4362913978169671</v>
      </c>
      <c r="T10" s="1">
        <v>1.8249862518510782</v>
      </c>
      <c r="U10" s="1">
        <v>1.6451905867113965</v>
      </c>
      <c r="W10" s="1">
        <v>1.0558259216631996</v>
      </c>
      <c r="X10" s="1">
        <v>0.63524062473443332</v>
      </c>
      <c r="Y10" s="1">
        <v>1.6324888560498949</v>
      </c>
      <c r="Z10" s="1">
        <v>2.0864832696213851</v>
      </c>
      <c r="AA10" s="1">
        <v>1.6090057372086448</v>
      </c>
      <c r="AB10" s="1">
        <v>0.99347860567504531</v>
      </c>
      <c r="AC10" s="1">
        <v>2.0825804691994563</v>
      </c>
      <c r="AD10" s="1">
        <v>1.9588242983212694</v>
      </c>
      <c r="AE10" s="1">
        <v>1.4535611211991637</v>
      </c>
      <c r="AF10" s="1">
        <v>0.623742316744756</v>
      </c>
      <c r="AH10" s="1">
        <v>1.0188424564839806</v>
      </c>
      <c r="AI10" s="1">
        <v>0.30294809524202715</v>
      </c>
      <c r="AJ10" s="1">
        <v>2.1694060973837623</v>
      </c>
      <c r="AK10" s="1">
        <v>1.0330877476997558</v>
      </c>
      <c r="AL10" s="1">
        <v>1.7266468305198941</v>
      </c>
      <c r="AM10" s="1">
        <v>1.8250850906828417</v>
      </c>
      <c r="AN10" s="1">
        <v>1.3061880432942417</v>
      </c>
      <c r="AO10" s="1">
        <v>1.81630056683789</v>
      </c>
      <c r="AP10" s="1">
        <v>1.8219007910753136</v>
      </c>
      <c r="AQ10" s="1">
        <v>1.8852586481414619</v>
      </c>
      <c r="AS10" s="1">
        <v>1.4157845978625119</v>
      </c>
      <c r="AT10" s="1">
        <v>1.0883054104226175</v>
      </c>
      <c r="AU10" s="1">
        <v>3.054507582820952</v>
      </c>
      <c r="AV10" s="1">
        <v>1.7514413376455196</v>
      </c>
      <c r="AW10" s="1">
        <v>1.2687612681649625</v>
      </c>
      <c r="AX10" s="1">
        <v>1.4904910848475992</v>
      </c>
      <c r="AY10" s="1">
        <v>1.9559478838928044</v>
      </c>
      <c r="AZ10" s="1">
        <v>2.0455755409551784</v>
      </c>
      <c r="BA10" s="1">
        <v>1.8330580173293129</v>
      </c>
      <c r="BB10" s="1">
        <v>1.1105107023438905</v>
      </c>
      <c r="BD10" s="1">
        <v>1.8359438652405515</v>
      </c>
      <c r="BE10" s="1">
        <v>2.2819367162184792</v>
      </c>
      <c r="BF10" s="1">
        <v>1.7514589484941099</v>
      </c>
      <c r="BG10" s="1">
        <v>1.3013960743672215</v>
      </c>
      <c r="BH10" s="1">
        <v>2.4767403076286429</v>
      </c>
      <c r="BI10" s="1">
        <v>0.65552219792734823</v>
      </c>
      <c r="BJ10" s="1">
        <v>1.4276528797054198</v>
      </c>
      <c r="BK10" s="1">
        <v>1.535383574059233</v>
      </c>
      <c r="BL10" s="1">
        <v>1.1164012034365443</v>
      </c>
      <c r="BM10" s="1">
        <v>2.2782207270181969</v>
      </c>
      <c r="BO10" s="1">
        <v>0.73233798300498165</v>
      </c>
      <c r="BP10" s="1">
        <v>1.6913931661576498</v>
      </c>
      <c r="BQ10" s="1">
        <v>0.88765009826747709</v>
      </c>
      <c r="BR10" s="1">
        <v>0.92753406634874414</v>
      </c>
      <c r="BS10" s="1">
        <v>2.371418320052908</v>
      </c>
      <c r="BT10" s="1">
        <v>1.469271663960535</v>
      </c>
      <c r="BU10" s="1">
        <v>1.4004990058892872</v>
      </c>
      <c r="BV10" s="1">
        <v>1.9734980858396738</v>
      </c>
      <c r="BW10" s="1">
        <v>1.3752672697970412</v>
      </c>
      <c r="BX10" s="1">
        <v>1.7330522086893325</v>
      </c>
      <c r="BZ10" s="1">
        <v>1.6068523816793459</v>
      </c>
      <c r="CA10" s="1">
        <v>1.3750076989992521</v>
      </c>
      <c r="CB10" s="1">
        <v>0.73095234660431752</v>
      </c>
      <c r="CC10" s="1">
        <v>1.5150420641555684</v>
      </c>
      <c r="CD10" s="1">
        <v>1.0163485214608954</v>
      </c>
      <c r="CE10" s="1">
        <v>-0.23271761266514668</v>
      </c>
      <c r="CF10" s="1">
        <v>0.86179665382951498</v>
      </c>
      <c r="CG10" s="1">
        <v>2.4656111170537769</v>
      </c>
      <c r="CH10" s="1">
        <v>0.51109382588183516</v>
      </c>
      <c r="CI10" s="1">
        <v>2.0588506049505666</v>
      </c>
    </row>
    <row r="11" spans="1:87" x14ac:dyDescent="0.3">
      <c r="A11" s="1">
        <v>1.5407343905972084</v>
      </c>
      <c r="B11" s="1">
        <v>1.7499914550455287</v>
      </c>
      <c r="C11" s="1">
        <v>1.5850857648198144</v>
      </c>
      <c r="D11" s="1">
        <v>0.43921328698052098</v>
      </c>
      <c r="E11" s="1">
        <v>2.3601385393878447</v>
      </c>
      <c r="F11" s="1">
        <v>0.56990418569184831</v>
      </c>
      <c r="G11" s="1">
        <v>1.6349999365629628</v>
      </c>
      <c r="H11" s="1">
        <v>2.214629232889274</v>
      </c>
      <c r="I11" s="1">
        <v>1.3702627752005356</v>
      </c>
      <c r="J11" s="1">
        <v>2.6848780908010665</v>
      </c>
      <c r="L11" s="1">
        <v>0.87720116223499645</v>
      </c>
      <c r="M11" s="1">
        <v>1.7135532319400226</v>
      </c>
      <c r="N11" s="1">
        <v>1.3357782604012756</v>
      </c>
      <c r="O11" s="1">
        <v>0.69186636765953158</v>
      </c>
      <c r="P11" s="1">
        <v>1.6712633780291071</v>
      </c>
      <c r="Q11" s="1">
        <v>1.2584153217962011</v>
      </c>
      <c r="R11" s="1">
        <v>1.3896673787385225</v>
      </c>
      <c r="S11" s="1">
        <v>1.490728293696884</v>
      </c>
      <c r="T11" s="1">
        <v>2.1161950866749977</v>
      </c>
      <c r="U11" s="1">
        <v>0.73199901634943676</v>
      </c>
      <c r="W11" s="1">
        <v>1.5467450137075502</v>
      </c>
      <c r="X11" s="1">
        <v>0.14624033913714807</v>
      </c>
      <c r="Y11" s="1">
        <v>1.7041338464347064</v>
      </c>
      <c r="Z11" s="1">
        <v>0.75644276522216392</v>
      </c>
      <c r="AA11" s="1">
        <v>0.64334223426994863</v>
      </c>
      <c r="AB11" s="1">
        <v>1.2856292222626506</v>
      </c>
      <c r="AC11" s="1">
        <v>2.1099944585002959</v>
      </c>
      <c r="AD11" s="1">
        <v>1.9799500412540509</v>
      </c>
      <c r="AE11" s="1">
        <v>2.394491370470496</v>
      </c>
      <c r="AF11" s="1">
        <v>1.7691152652303572</v>
      </c>
      <c r="AH11" s="1">
        <v>1.1152045570051996</v>
      </c>
      <c r="AI11" s="1">
        <v>0.54963307168800379</v>
      </c>
      <c r="AJ11" s="1">
        <v>2.3090329745551572</v>
      </c>
      <c r="AK11" s="1">
        <v>1.3469049155071844</v>
      </c>
      <c r="AL11" s="1">
        <v>2.0952220595238034</v>
      </c>
      <c r="AM11" s="1">
        <v>1.7101986294495872</v>
      </c>
      <c r="AN11" s="1">
        <v>1.8561672201612964</v>
      </c>
      <c r="AO11" s="1">
        <v>1.9790760168456472</v>
      </c>
      <c r="AP11" s="1">
        <v>1.5778657411297901</v>
      </c>
      <c r="AQ11" s="1">
        <v>1.0111352185020224</v>
      </c>
      <c r="AS11" s="1">
        <v>1.0225554686039686</v>
      </c>
      <c r="AT11" s="1">
        <v>0.83639675115700807</v>
      </c>
      <c r="AU11" s="1">
        <v>1.7324908680544469</v>
      </c>
      <c r="AV11" s="1">
        <v>1.5645333552209195</v>
      </c>
      <c r="AW11" s="1">
        <v>0.52946212892420585</v>
      </c>
      <c r="AX11" s="1">
        <v>2.3136547305388375</v>
      </c>
      <c r="AY11" s="1">
        <v>1.634935362439137</v>
      </c>
      <c r="AZ11" s="1">
        <v>1.7154617060208692</v>
      </c>
      <c r="BA11" s="1">
        <v>0.76667547950055459</v>
      </c>
      <c r="BB11" s="1">
        <v>2.4911529908393275</v>
      </c>
      <c r="BD11" s="1">
        <v>1.2828846845659427</v>
      </c>
      <c r="BE11" s="1">
        <v>1.2357990757038351</v>
      </c>
      <c r="BF11" s="1">
        <v>1.0792535744636553</v>
      </c>
      <c r="BG11" s="1">
        <v>0.94261064633319624</v>
      </c>
      <c r="BH11" s="1">
        <v>1.3942354982820688</v>
      </c>
      <c r="BI11" s="1">
        <v>1.1999875631649046</v>
      </c>
      <c r="BJ11" s="1">
        <v>1.3663274709542748</v>
      </c>
      <c r="BK11" s="1">
        <v>2.0490143404225818</v>
      </c>
      <c r="BL11" s="1">
        <v>1.42060217007529</v>
      </c>
      <c r="BM11" s="1">
        <v>-3.022621058626096E-2</v>
      </c>
      <c r="BO11" s="1">
        <v>0.90762148627254646</v>
      </c>
      <c r="BP11" s="1">
        <v>1.1650283371011028</v>
      </c>
      <c r="BQ11" s="1">
        <v>1.4541276227115305</v>
      </c>
      <c r="BR11" s="1">
        <v>1.5795690079437918</v>
      </c>
      <c r="BS11" s="1">
        <v>2.2191930085857168</v>
      </c>
      <c r="BT11" s="1">
        <v>1.4719137460691853</v>
      </c>
      <c r="BU11" s="1">
        <v>1.4508718246943317</v>
      </c>
      <c r="BV11" s="1">
        <v>1.5273836586624383</v>
      </c>
      <c r="BW11" s="1">
        <v>1.2588678641273874</v>
      </c>
      <c r="BX11" s="1">
        <v>1.6768253135494888</v>
      </c>
      <c r="BZ11" s="1">
        <v>0.56084252517030109</v>
      </c>
      <c r="CA11" s="1">
        <v>-8.4941390622407242E-2</v>
      </c>
      <c r="CB11" s="1">
        <v>2.3183980414993131</v>
      </c>
      <c r="CC11" s="1">
        <v>0.42453631623066035</v>
      </c>
      <c r="CD11" s="1">
        <v>1.9614642653497867</v>
      </c>
      <c r="CE11" s="1">
        <v>1.528982719616033</v>
      </c>
      <c r="CF11" s="1">
        <v>1.1744973032036796</v>
      </c>
      <c r="CG11" s="1">
        <v>1.3757781678345053</v>
      </c>
      <c r="CH11" s="1">
        <v>0.84452822597231725</v>
      </c>
      <c r="CI11" s="1">
        <v>2.2659752903535262</v>
      </c>
    </row>
    <row r="12" spans="1:87" x14ac:dyDescent="0.3">
      <c r="A12" s="1">
        <v>0.17244849712005816</v>
      </c>
      <c r="B12" s="1">
        <v>1.3340538346994435</v>
      </c>
      <c r="C12" s="1">
        <v>2.1336162303137827</v>
      </c>
      <c r="D12" s="1">
        <v>1.4193723164760741</v>
      </c>
      <c r="E12" s="1">
        <v>1.6530290324400994</v>
      </c>
      <c r="F12" s="1">
        <v>0.97060936139896503</v>
      </c>
      <c r="G12" s="1">
        <v>2.0712390702683479</v>
      </c>
      <c r="H12" s="1">
        <v>2.1297638275194912</v>
      </c>
      <c r="I12" s="1">
        <v>1.7792750481399708</v>
      </c>
      <c r="J12" s="1">
        <v>1.4915813653686201</v>
      </c>
      <c r="L12" s="1">
        <v>0.4881511611310998</v>
      </c>
      <c r="M12" s="1">
        <v>0.55177766019478436</v>
      </c>
      <c r="N12" s="1">
        <v>2.0314973693908542</v>
      </c>
      <c r="O12" s="1">
        <v>1.048922618891811</v>
      </c>
      <c r="P12" s="1">
        <v>2.1419709966896332</v>
      </c>
      <c r="Q12" s="1">
        <v>2.5338906915625556</v>
      </c>
      <c r="R12" s="1">
        <v>1.8120921974186786</v>
      </c>
      <c r="S12" s="1">
        <v>1.6631266523967496</v>
      </c>
      <c r="T12" s="1">
        <v>2.0410730980453082</v>
      </c>
      <c r="U12" s="1">
        <v>3.0889263416582251</v>
      </c>
      <c r="W12" s="1">
        <v>1.702368652127916</v>
      </c>
      <c r="X12" s="1">
        <v>0.75967723508365448</v>
      </c>
      <c r="Y12" s="1">
        <v>1.7090638761525043</v>
      </c>
      <c r="Z12" s="1">
        <v>1.601624822895974</v>
      </c>
      <c r="AA12" s="1">
        <v>2.739248672896065</v>
      </c>
      <c r="AB12" s="1">
        <v>2.0961945473449304</v>
      </c>
      <c r="AC12" s="1">
        <v>1.4653027771273628</v>
      </c>
      <c r="AD12" s="1">
        <v>2.9693911463022231</v>
      </c>
      <c r="AE12" s="1">
        <v>1.6624891072220636</v>
      </c>
      <c r="AF12" s="1">
        <v>0.73004678597208117</v>
      </c>
      <c r="AH12" s="1">
        <v>0.7171602217349573</v>
      </c>
      <c r="AI12" s="1">
        <v>-0.71631261259317403</v>
      </c>
      <c r="AJ12" s="1">
        <v>0.76049591774935843</v>
      </c>
      <c r="AK12" s="1">
        <v>1.1319788119260921</v>
      </c>
      <c r="AL12" s="1">
        <v>1.9026683887379476</v>
      </c>
      <c r="AM12" s="1">
        <v>2.4807834769366308</v>
      </c>
      <c r="AN12" s="1">
        <v>1.9585344868246466</v>
      </c>
      <c r="AO12" s="1">
        <v>1.6822242221445776</v>
      </c>
      <c r="AP12" s="1">
        <v>1.1527969076647424</v>
      </c>
      <c r="AQ12" s="1">
        <v>3.3926884771033654</v>
      </c>
      <c r="AS12" s="1">
        <v>0.29619320937490556</v>
      </c>
      <c r="AT12" s="1">
        <v>1.6286891908122925</v>
      </c>
      <c r="AU12" s="1">
        <v>1.329845512774773</v>
      </c>
      <c r="AV12" s="1">
        <v>1.3624510221314268</v>
      </c>
      <c r="AW12" s="1">
        <v>1.2482469330454478</v>
      </c>
      <c r="AX12" s="1">
        <v>2.3971772669814526</v>
      </c>
      <c r="AY12" s="1">
        <v>1.7603342181828339</v>
      </c>
      <c r="AZ12" s="1">
        <v>2.2215982360416091</v>
      </c>
      <c r="BA12" s="1">
        <v>2.2051777745597065</v>
      </c>
      <c r="BB12" s="1">
        <v>1.8766178800404305</v>
      </c>
      <c r="BD12" s="1">
        <v>0.64689436637854669</v>
      </c>
      <c r="BE12" s="1">
        <v>0.62041404210613105</v>
      </c>
      <c r="BF12" s="1">
        <v>1.3682233470186476</v>
      </c>
      <c r="BG12" s="1">
        <v>1.687889258490759</v>
      </c>
      <c r="BH12" s="1">
        <v>1.226057422372105</v>
      </c>
      <c r="BI12" s="1">
        <v>2.1601920515298842</v>
      </c>
      <c r="BJ12" s="1">
        <v>2.15644780988805</v>
      </c>
      <c r="BK12" s="1">
        <v>1.7840303305769338</v>
      </c>
      <c r="BL12" s="1">
        <v>2.5097016118175817</v>
      </c>
      <c r="BM12" s="1">
        <v>2.7956129360944031</v>
      </c>
      <c r="BO12" s="1">
        <v>0.69865029925131239</v>
      </c>
      <c r="BP12" s="1">
        <v>1.497186488751322</v>
      </c>
      <c r="BQ12" s="1">
        <v>1.4461830728047063</v>
      </c>
      <c r="BR12" s="1">
        <v>2.3446365195093675</v>
      </c>
      <c r="BS12" s="1">
        <v>3.1256293070502581</v>
      </c>
      <c r="BT12" s="1">
        <v>1.5925700416904873</v>
      </c>
      <c r="BU12" s="1">
        <v>1.0015450622304343</v>
      </c>
      <c r="BV12" s="1">
        <v>1.3944155332632362</v>
      </c>
      <c r="BW12" s="1">
        <v>1.7974666474779952</v>
      </c>
      <c r="BX12" s="1">
        <v>0.78615601523488299</v>
      </c>
      <c r="BZ12" s="1">
        <v>1.2757315087364987</v>
      </c>
      <c r="CA12" s="1">
        <v>2.7123005141504111</v>
      </c>
      <c r="CB12" s="1">
        <v>1.8534425220801496</v>
      </c>
      <c r="CC12" s="1">
        <v>1.3442929604105303</v>
      </c>
      <c r="CD12" s="1">
        <v>2.18736387725512</v>
      </c>
      <c r="CE12" s="1">
        <v>1.2627645254600792</v>
      </c>
      <c r="CF12" s="1">
        <v>1.0991083778790198</v>
      </c>
      <c r="CG12" s="1">
        <v>2.043974830280058</v>
      </c>
      <c r="CH12" s="1">
        <v>2.244594138066168</v>
      </c>
      <c r="CI12" s="1">
        <v>2.6985989552456884</v>
      </c>
    </row>
    <row r="13" spans="1:87" x14ac:dyDescent="0.3">
      <c r="A13" s="1">
        <v>0.49736547932843678</v>
      </c>
      <c r="B13" s="1">
        <v>2.5848257367499174</v>
      </c>
      <c r="C13" s="1">
        <v>1.4777448126929813</v>
      </c>
      <c r="D13" s="1">
        <v>1.3028114754968556</v>
      </c>
      <c r="E13" s="1">
        <v>1.4790566794719779</v>
      </c>
      <c r="F13" s="1">
        <v>0.92399048197548828</v>
      </c>
      <c r="G13" s="1">
        <v>1.4047226992843207</v>
      </c>
      <c r="H13" s="1">
        <v>2.1885244612116366</v>
      </c>
      <c r="I13" s="1">
        <v>1.6279169398709201</v>
      </c>
      <c r="J13" s="1">
        <v>2.3957433586445402</v>
      </c>
      <c r="L13" s="1">
        <v>1.8328652256750502</v>
      </c>
      <c r="M13" s="1">
        <v>1.5475720404821913</v>
      </c>
      <c r="N13" s="1">
        <v>1.3834431724186289</v>
      </c>
      <c r="O13" s="1">
        <v>1.1604545226044138</v>
      </c>
      <c r="P13" s="1">
        <v>2.3495224624814002</v>
      </c>
      <c r="Q13" s="1">
        <v>1.3253213900374248</v>
      </c>
      <c r="R13" s="1">
        <v>1.3630223672080319</v>
      </c>
      <c r="S13" s="1">
        <v>2.2815403033513575</v>
      </c>
      <c r="T13" s="1">
        <v>1.5652226279067691</v>
      </c>
      <c r="U13" s="1">
        <v>2.7265747848985482</v>
      </c>
      <c r="W13" s="1">
        <v>1.0272660827249638</v>
      </c>
      <c r="X13" s="1">
        <v>0.99394965521350964</v>
      </c>
      <c r="Y13" s="1">
        <v>2.6106282388733235</v>
      </c>
      <c r="Z13" s="1">
        <v>1.7821959009859711</v>
      </c>
      <c r="AA13" s="1">
        <v>0.24549241717904802</v>
      </c>
      <c r="AB13" s="1">
        <v>1.2093189788050949</v>
      </c>
      <c r="AC13" s="1">
        <v>1.3621788108721375</v>
      </c>
      <c r="AD13" s="1">
        <v>2.1712858986342325</v>
      </c>
      <c r="AE13" s="1">
        <v>1.6857721715874505</v>
      </c>
      <c r="AF13" s="1">
        <v>3.2770075722481122</v>
      </c>
      <c r="AH13" s="1">
        <v>0.19991751085035503</v>
      </c>
      <c r="AI13" s="1">
        <v>0.81532330416957843</v>
      </c>
      <c r="AJ13" s="1">
        <v>1.4833409335929901</v>
      </c>
      <c r="AK13" s="1">
        <v>1.068774046060571</v>
      </c>
      <c r="AL13" s="1">
        <v>2.9943146430188792</v>
      </c>
      <c r="AM13" s="1">
        <v>3.2854334484785794</v>
      </c>
      <c r="AN13" s="1">
        <v>1.9355097189545631</v>
      </c>
      <c r="AO13" s="1">
        <v>1.7319522092060651</v>
      </c>
      <c r="AP13" s="1">
        <v>0.96011818135739313</v>
      </c>
      <c r="AQ13" s="1">
        <v>0.83613843343919148</v>
      </c>
      <c r="AS13" s="1">
        <v>1.3768218448385596</v>
      </c>
      <c r="AT13" s="1">
        <v>1.4700858203752432</v>
      </c>
      <c r="AU13" s="1">
        <v>1.9371853836142692</v>
      </c>
      <c r="AV13" s="1">
        <v>1.1620842234231532</v>
      </c>
      <c r="AW13" s="1">
        <v>2.4351052317972064</v>
      </c>
      <c r="AX13" s="1">
        <v>2.5862430255860089</v>
      </c>
      <c r="AY13" s="1">
        <v>1.2909380908822641</v>
      </c>
      <c r="AZ13" s="1">
        <v>1.976581272878684</v>
      </c>
      <c r="BA13" s="1">
        <v>2.0346190962678521</v>
      </c>
      <c r="BB13" s="1">
        <v>3.5788543118513187</v>
      </c>
      <c r="BD13" s="1">
        <v>1.2598812898213509</v>
      </c>
      <c r="BE13" s="1">
        <v>1.761125034437282</v>
      </c>
      <c r="BF13" s="1">
        <v>1.4790499375900255</v>
      </c>
      <c r="BG13" s="1">
        <v>0.67983147901832131</v>
      </c>
      <c r="BH13" s="1">
        <v>1.6696017312089679</v>
      </c>
      <c r="BI13" s="1">
        <v>1.8525436452240682</v>
      </c>
      <c r="BJ13" s="1">
        <v>1.46327505868976</v>
      </c>
      <c r="BK13" s="1">
        <v>1.6048871591687202</v>
      </c>
      <c r="BL13" s="1">
        <v>2.6738403943832965</v>
      </c>
      <c r="BM13" s="1">
        <v>0.23144632905023177</v>
      </c>
      <c r="BO13" s="1">
        <v>0.42416707199299708</v>
      </c>
      <c r="BP13" s="1">
        <v>1.4220460828539216</v>
      </c>
      <c r="BQ13" s="1">
        <v>1.9867100986099104</v>
      </c>
      <c r="BR13" s="1">
        <v>0.58371835267171268</v>
      </c>
      <c r="BS13" s="1">
        <v>2.2668746325682152</v>
      </c>
      <c r="BT13" s="1">
        <v>3.1652491806074976</v>
      </c>
      <c r="BU13" s="1">
        <v>1.2206869011279196</v>
      </c>
      <c r="BV13" s="1">
        <v>1.973529463406885</v>
      </c>
      <c r="BW13" s="1">
        <v>1.5093716951392708</v>
      </c>
      <c r="BX13" s="1">
        <v>1.1837009242270142</v>
      </c>
      <c r="BZ13" s="1">
        <v>0.88766091973957373</v>
      </c>
      <c r="CA13" s="1">
        <v>1.2477164121548412</v>
      </c>
      <c r="CB13" s="1">
        <v>2.1191930085857167</v>
      </c>
      <c r="CC13" s="1">
        <v>1.4917317149491283</v>
      </c>
      <c r="CD13" s="1">
        <v>1.9011611286434345</v>
      </c>
      <c r="CE13" s="1">
        <v>1.4098225427791475</v>
      </c>
      <c r="CF13" s="1">
        <v>1.4889369064476341</v>
      </c>
      <c r="CG13" s="1">
        <v>2.3607263690559193</v>
      </c>
      <c r="CH13" s="1">
        <v>0.86168584352126354</v>
      </c>
      <c r="CI13" s="1">
        <v>2.0992355803144163</v>
      </c>
    </row>
    <row r="14" spans="1:87" x14ac:dyDescent="0.3">
      <c r="A14" s="1">
        <v>0.78701225700206123</v>
      </c>
      <c r="B14" s="1">
        <v>1.8460886652348563</v>
      </c>
      <c r="C14" s="1">
        <v>0.94036281956650791</v>
      </c>
      <c r="D14" s="1">
        <v>0.60634885458857757</v>
      </c>
      <c r="E14" s="1">
        <v>2.2985270945529921</v>
      </c>
      <c r="F14" s="1">
        <v>0.95562088871374717</v>
      </c>
      <c r="G14" s="1">
        <v>1.0839025359600782</v>
      </c>
      <c r="H14" s="1">
        <v>1.7794592102058231</v>
      </c>
      <c r="I14" s="1">
        <v>0.9570702372380766</v>
      </c>
      <c r="J14" s="1">
        <v>0.65381157582742166</v>
      </c>
      <c r="L14" s="1">
        <v>1.2906847385020228</v>
      </c>
      <c r="M14" s="1">
        <v>1.7926785888732411</v>
      </c>
      <c r="N14" s="1">
        <v>0.46856494413223126</v>
      </c>
      <c r="O14" s="1">
        <v>1.3043792169890367</v>
      </c>
      <c r="P14" s="1">
        <v>1.5111420609347987</v>
      </c>
      <c r="Q14" s="1">
        <v>2.2027964213397353</v>
      </c>
      <c r="R14" s="1">
        <v>1.3347220753203146</v>
      </c>
      <c r="S14" s="1">
        <v>2.151136953011155</v>
      </c>
      <c r="T14" s="1">
        <v>0.73188275968423122</v>
      </c>
      <c r="U14" s="1">
        <v>1.4937709738631384</v>
      </c>
      <c r="W14" s="1">
        <v>0.95927737472811714</v>
      </c>
      <c r="X14" s="1">
        <v>1.2028690010367427</v>
      </c>
      <c r="Y14" s="1">
        <v>2.3194882982730634</v>
      </c>
      <c r="Z14" s="1">
        <v>1.5409751687082462</v>
      </c>
      <c r="AA14" s="1">
        <v>1.4263232671684818</v>
      </c>
      <c r="AB14" s="1">
        <v>2.7761818991042673</v>
      </c>
      <c r="AC14" s="1">
        <v>1.4929768819129094</v>
      </c>
      <c r="AD14" s="1">
        <v>1.3478685039211995</v>
      </c>
      <c r="AE14" s="1">
        <v>1.5790526317156037</v>
      </c>
      <c r="AF14" s="1">
        <v>1.3779621713154484</v>
      </c>
      <c r="AH14" s="1">
        <v>1.5790366230939981</v>
      </c>
      <c r="AI14" s="1">
        <v>1.6869129952567163</v>
      </c>
      <c r="AJ14" s="1">
        <v>2.5983345989894588</v>
      </c>
      <c r="AK14" s="1">
        <v>0.11913026911206548</v>
      </c>
      <c r="AL14" s="1">
        <v>3.2641253412468361</v>
      </c>
      <c r="AM14" s="1">
        <v>1.009344740747474</v>
      </c>
      <c r="AN14" s="1">
        <v>2.4068826329894364</v>
      </c>
      <c r="AO14" s="1">
        <v>1.3098925526486709</v>
      </c>
      <c r="AP14" s="1">
        <v>1.5367395275839955</v>
      </c>
      <c r="AQ14" s="1">
        <v>-0.71221354119479652</v>
      </c>
      <c r="AS14" s="1">
        <v>1.7916651156847365</v>
      </c>
      <c r="AT14" s="1">
        <v>1.1846911578060826</v>
      </c>
      <c r="AU14" s="1">
        <v>1.8983595095429338</v>
      </c>
      <c r="AV14" s="1">
        <v>1.4625272716410109</v>
      </c>
      <c r="AW14" s="1">
        <v>2.5680067367095036</v>
      </c>
      <c r="AX14" s="1">
        <v>1.1970189724583178</v>
      </c>
      <c r="AY14" s="1">
        <v>2.0673628038493916</v>
      </c>
      <c r="AZ14" s="1">
        <v>1.2941801221808418</v>
      </c>
      <c r="BA14" s="1">
        <v>0.93158733256277637</v>
      </c>
      <c r="BB14" s="1">
        <v>2.3879661557628422</v>
      </c>
      <c r="BD14" s="1">
        <v>1.0535942490387242</v>
      </c>
      <c r="BE14" s="1">
        <v>2.3350057320669295</v>
      </c>
      <c r="BF14" s="1">
        <v>3.4529972294345495</v>
      </c>
      <c r="BG14" s="1">
        <v>1.973210251989076</v>
      </c>
      <c r="BH14" s="1">
        <v>1.155072156706592</v>
      </c>
      <c r="BI14" s="1">
        <v>1.2227049218257888</v>
      </c>
      <c r="BJ14" s="1">
        <v>1.5082163751358166</v>
      </c>
      <c r="BK14" s="1">
        <v>1.9622912921244278</v>
      </c>
      <c r="BL14" s="1">
        <v>2.0115292995265919</v>
      </c>
      <c r="BM14" s="1">
        <v>1.5986368498459342</v>
      </c>
      <c r="BO14" s="1">
        <v>0.7070926838205196</v>
      </c>
      <c r="BP14" s="1">
        <v>1.1541253146162489</v>
      </c>
      <c r="BQ14" s="1">
        <v>1.5253452642733465</v>
      </c>
      <c r="BR14" s="1">
        <v>1.1940847945050337</v>
      </c>
      <c r="BS14" s="1">
        <v>0.73224033914739273</v>
      </c>
      <c r="BT14" s="1">
        <v>2.2332463039550929</v>
      </c>
      <c r="BU14" s="1">
        <v>1.0849520928459242</v>
      </c>
      <c r="BV14" s="1">
        <v>1.3802237779367714</v>
      </c>
      <c r="BW14" s="1">
        <v>1.6737236405257137</v>
      </c>
      <c r="BX14" s="1">
        <v>1.7067840690258891</v>
      </c>
      <c r="BZ14" s="1">
        <v>0.51731638248020317</v>
      </c>
      <c r="CA14" s="1">
        <v>1.4155215952370781</v>
      </c>
      <c r="CB14" s="1">
        <v>2.2856378149677767</v>
      </c>
      <c r="CC14" s="1">
        <v>0.2789375831605867</v>
      </c>
      <c r="CD14" s="1">
        <v>1.8092262209567707</v>
      </c>
      <c r="CE14" s="1">
        <v>1.8449511834536678</v>
      </c>
      <c r="CF14" s="1">
        <v>1.8949689926230349</v>
      </c>
      <c r="CG14" s="1">
        <v>1.9039017322706058</v>
      </c>
      <c r="CH14" s="1">
        <v>2.1553101800614969</v>
      </c>
      <c r="CI14" s="1">
        <v>1.7868152826820733</v>
      </c>
    </row>
    <row r="15" spans="1:87" x14ac:dyDescent="0.3">
      <c r="A15" s="1">
        <v>0.60126956466410775</v>
      </c>
      <c r="B15" s="1">
        <v>2.2817020665854217</v>
      </c>
      <c r="C15" s="1">
        <v>1.8408464752079454</v>
      </c>
      <c r="D15" s="1">
        <v>2.1127221917675341</v>
      </c>
      <c r="E15" s="1">
        <v>1.9382346337981289</v>
      </c>
      <c r="F15" s="1">
        <v>0.88980075714644036</v>
      </c>
      <c r="G15" s="1">
        <v>0.90697125566657633</v>
      </c>
      <c r="H15" s="1">
        <v>2.32762349039549</v>
      </c>
      <c r="I15" s="1">
        <v>0.61866431173402825</v>
      </c>
      <c r="J15" s="1">
        <v>2.796756853055558</v>
      </c>
      <c r="L15" s="1">
        <v>0.98399005107785342</v>
      </c>
      <c r="M15" s="1">
        <v>0.58142536848317827</v>
      </c>
      <c r="N15" s="1">
        <v>1.6523928065376823</v>
      </c>
      <c r="O15" s="1">
        <v>1.6958450633945177</v>
      </c>
      <c r="P15" s="1">
        <v>1.8772216364770429</v>
      </c>
      <c r="Q15" s="1">
        <v>0.95175917421001932</v>
      </c>
      <c r="R15" s="1">
        <v>2.4528594091534615</v>
      </c>
      <c r="S15" s="1">
        <v>1.8785241016070358</v>
      </c>
      <c r="T15" s="1">
        <v>2.4738743417779916</v>
      </c>
      <c r="U15" s="1">
        <v>1.4672255520024919</v>
      </c>
      <c r="W15" s="1">
        <v>1.2159231371479109</v>
      </c>
      <c r="X15" s="1">
        <v>2.3631473171291875</v>
      </c>
      <c r="Y15" s="1">
        <v>0.6946093930688223</v>
      </c>
      <c r="Z15" s="1">
        <v>1.2215162915788824</v>
      </c>
      <c r="AA15" s="1">
        <v>1.6556591774307889</v>
      </c>
      <c r="AB15" s="1">
        <v>1.4687186911818571</v>
      </c>
      <c r="AC15" s="1">
        <v>1.165596078557428</v>
      </c>
      <c r="AD15" s="1">
        <v>2.1975693860207683</v>
      </c>
      <c r="AE15" s="1">
        <v>1.835619381783181</v>
      </c>
      <c r="AF15" s="1">
        <v>2.8089245279232271</v>
      </c>
      <c r="AH15" s="1">
        <v>1.1385114956065081</v>
      </c>
      <c r="AI15" s="1">
        <v>1.4543799837440019</v>
      </c>
      <c r="AJ15" s="1">
        <v>1.6583016799282633</v>
      </c>
      <c r="AK15" s="1">
        <v>0.63121330286667221</v>
      </c>
      <c r="AL15" s="1">
        <v>0.99114528640639032</v>
      </c>
      <c r="AM15" s="1">
        <v>-0.10428240885958084</v>
      </c>
      <c r="AN15" s="1">
        <v>0.95188665151363239</v>
      </c>
      <c r="AO15" s="1">
        <v>1.7228504409780725</v>
      </c>
      <c r="AP15" s="1">
        <v>2.1346646503312514</v>
      </c>
      <c r="AQ15" s="1">
        <v>1.8712298060534522</v>
      </c>
      <c r="AS15" s="1">
        <v>0.69391240028926404</v>
      </c>
      <c r="AT15" s="1">
        <v>2.1706500350148419</v>
      </c>
      <c r="AU15" s="1">
        <v>0.46399382376112053</v>
      </c>
      <c r="AV15" s="1">
        <v>1.2420953145090607</v>
      </c>
      <c r="AW15" s="1">
        <v>2.536543676996371</v>
      </c>
      <c r="AX15" s="1">
        <v>2.1936341717140748</v>
      </c>
      <c r="AY15" s="1">
        <v>1.869886947737541</v>
      </c>
      <c r="AZ15" s="1">
        <v>1.9869240466272458</v>
      </c>
      <c r="BA15" s="1">
        <v>1.9799277692451143</v>
      </c>
      <c r="BB15" s="1">
        <v>3.2912216101947704</v>
      </c>
      <c r="BD15" s="1">
        <v>1.664322215016</v>
      </c>
      <c r="BE15" s="1">
        <v>0.22662148087983947</v>
      </c>
      <c r="BF15" s="1">
        <v>2.1628701273963089</v>
      </c>
      <c r="BG15" s="1">
        <v>1.2421339680338861</v>
      </c>
      <c r="BH15" s="1">
        <v>2.3539821697515437</v>
      </c>
      <c r="BI15" s="1">
        <v>-0.44730743058025846</v>
      </c>
      <c r="BJ15" s="1">
        <v>1.0899524947162718</v>
      </c>
      <c r="BK15" s="1">
        <v>2.2565764927770942</v>
      </c>
      <c r="BL15" s="1">
        <v>1.9634897893789458</v>
      </c>
      <c r="BM15" s="1">
        <v>3.123260221397504</v>
      </c>
      <c r="BO15" s="1">
        <v>1.6046218459232477</v>
      </c>
      <c r="BP15" s="1">
        <v>0.92451996654854152</v>
      </c>
      <c r="BQ15" s="1">
        <v>2.4513870852766559</v>
      </c>
      <c r="BR15" s="1">
        <v>1.3189186266652542</v>
      </c>
      <c r="BS15" s="1">
        <v>2.3076088538975457</v>
      </c>
      <c r="BT15" s="1">
        <v>1.8916601028526201</v>
      </c>
      <c r="BU15" s="1">
        <v>2.0552419679588638</v>
      </c>
      <c r="BV15" s="1">
        <v>1.6599834387074224</v>
      </c>
      <c r="BW15" s="1">
        <v>2.00115310184774</v>
      </c>
      <c r="BX15" s="1">
        <v>1.5777557609879296</v>
      </c>
      <c r="BZ15" s="1">
        <v>1.010423946150695</v>
      </c>
      <c r="CA15" s="1">
        <v>1.98817856774549</v>
      </c>
      <c r="CB15" s="1">
        <v>1.7486648670834257</v>
      </c>
      <c r="CC15" s="1">
        <v>1.4968464857782238</v>
      </c>
      <c r="CD15" s="1">
        <v>1.5137507191131589</v>
      </c>
      <c r="CE15" s="1">
        <v>0.92873076836112878</v>
      </c>
      <c r="CF15" s="1">
        <v>1.7279257387272082</v>
      </c>
      <c r="CG15" s="1">
        <v>1.9417981027567293</v>
      </c>
      <c r="CH15" s="1">
        <v>1.6602540239924566</v>
      </c>
      <c r="CI15" s="1">
        <v>2.9793374596891224</v>
      </c>
    </row>
    <row r="16" spans="1:87" x14ac:dyDescent="0.3">
      <c r="A16" s="1">
        <v>0.33027652332384605</v>
      </c>
      <c r="B16" s="1">
        <v>0.71020981825422491</v>
      </c>
      <c r="C16" s="1">
        <v>1.2105427726433846</v>
      </c>
      <c r="D16" s="1">
        <v>1.2687872787035304</v>
      </c>
      <c r="E16" s="1">
        <v>2.1615574198396641</v>
      </c>
      <c r="F16" s="1">
        <v>0.67622047835029653</v>
      </c>
      <c r="G16" s="1">
        <v>1.153864506399259</v>
      </c>
      <c r="H16" s="1">
        <v>1.4581820257939397</v>
      </c>
      <c r="I16" s="1">
        <v>2.0127116426388967</v>
      </c>
      <c r="J16" s="1">
        <v>2.0897916147048816</v>
      </c>
      <c r="L16" s="1">
        <v>1.3901152467733482</v>
      </c>
      <c r="M16" s="1">
        <v>-0.1271019270177931</v>
      </c>
      <c r="N16" s="1">
        <v>1.138974179813522</v>
      </c>
      <c r="O16" s="1">
        <v>0.97599933370365766</v>
      </c>
      <c r="P16" s="1">
        <v>2.0174716312059902</v>
      </c>
      <c r="Q16" s="1">
        <v>2.0453119567595421</v>
      </c>
      <c r="R16" s="1">
        <v>1.4667770680389367</v>
      </c>
      <c r="S16" s="1">
        <v>1.2535784597042947</v>
      </c>
      <c r="T16" s="1">
        <v>2.1838501238031314</v>
      </c>
      <c r="U16" s="1">
        <v>2.2690479045166283</v>
      </c>
      <c r="W16" s="1">
        <v>1.1088898216039524</v>
      </c>
      <c r="X16" s="1">
        <v>1.2118197931442409</v>
      </c>
      <c r="Y16" s="1">
        <v>1.1436201061238536</v>
      </c>
      <c r="Z16" s="1">
        <v>2.0470748641935641</v>
      </c>
      <c r="AA16" s="1">
        <v>1.253772227045556</v>
      </c>
      <c r="AB16" s="1">
        <v>1.3210785972536541</v>
      </c>
      <c r="AC16" s="1">
        <v>0.48659007158130407</v>
      </c>
      <c r="AD16" s="1">
        <v>1.6836775946780107</v>
      </c>
      <c r="AE16" s="1">
        <v>1.3384531980060275</v>
      </c>
      <c r="AF16" s="1">
        <v>2.2971178668711216</v>
      </c>
      <c r="AH16" s="1">
        <v>1.3670857040560804</v>
      </c>
      <c r="AI16" s="1">
        <v>2.0305833034683021</v>
      </c>
      <c r="AJ16" s="1">
        <v>2.2623142780881609</v>
      </c>
      <c r="AK16" s="1">
        <v>1.0309680566104362</v>
      </c>
      <c r="AL16" s="1">
        <v>0.56796967984992075</v>
      </c>
      <c r="AM16" s="1">
        <v>1.0238293533679097</v>
      </c>
      <c r="AN16" s="1">
        <v>1.8683408067445271</v>
      </c>
      <c r="AO16" s="1">
        <v>1.9959698809310793</v>
      </c>
      <c r="AP16" s="1">
        <v>1.7014984718494817</v>
      </c>
      <c r="AQ16" s="1">
        <v>0.69913033257471402</v>
      </c>
      <c r="AS16" s="1">
        <v>1.2875651716749417</v>
      </c>
      <c r="AT16" s="1">
        <v>1.1581286829197779</v>
      </c>
      <c r="AU16" s="1">
        <v>0.10927997613325724</v>
      </c>
      <c r="AV16" s="1">
        <v>2.4291558621451257</v>
      </c>
      <c r="AW16" s="1">
        <v>0.37518999963067468</v>
      </c>
      <c r="AX16" s="1">
        <v>0.59720357866026452</v>
      </c>
      <c r="AY16" s="1">
        <v>1.0815833244705573</v>
      </c>
      <c r="AZ16" s="1">
        <v>1.3012159731937571</v>
      </c>
      <c r="BA16" s="1">
        <v>1.2522240053309361</v>
      </c>
      <c r="BB16" s="1">
        <v>1.262516598214279</v>
      </c>
      <c r="BD16" s="1">
        <v>1.5569427230511792</v>
      </c>
      <c r="BE16" s="1">
        <v>1.3268165306100854</v>
      </c>
      <c r="BF16" s="1">
        <v>1.3320371676323703</v>
      </c>
      <c r="BG16" s="1">
        <v>0.97938890677032764</v>
      </c>
      <c r="BH16" s="1">
        <v>1.7637306811768212</v>
      </c>
      <c r="BI16" s="1">
        <v>2.1484504749299957</v>
      </c>
      <c r="BJ16" s="1">
        <v>1.0646558090811595</v>
      </c>
      <c r="BK16" s="1">
        <v>2.0961898306035436</v>
      </c>
      <c r="BL16" s="1">
        <v>2.0686114607466153</v>
      </c>
      <c r="BM16" s="1">
        <v>0.96384172138350555</v>
      </c>
      <c r="BO16" s="1">
        <v>0.83835948569321772</v>
      </c>
      <c r="BP16" s="1">
        <v>0.17027282713679592</v>
      </c>
      <c r="BQ16" s="1">
        <v>1.307728420617059</v>
      </c>
      <c r="BR16" s="1">
        <v>1.7305593392928131</v>
      </c>
      <c r="BS16" s="1">
        <v>2.1849111974181139</v>
      </c>
      <c r="BT16" s="1">
        <v>1.3926867531030438</v>
      </c>
      <c r="BU16" s="1">
        <v>1.9837611413677223</v>
      </c>
      <c r="BV16" s="1">
        <v>2.1477181624271906</v>
      </c>
      <c r="BW16" s="1">
        <v>1.761559796652</v>
      </c>
      <c r="BX16" s="1">
        <v>1.3159819263790269</v>
      </c>
      <c r="BZ16" s="1">
        <v>1.1980458819161868</v>
      </c>
      <c r="CA16" s="1">
        <v>1.0540602064167615</v>
      </c>
      <c r="CB16" s="1">
        <v>2.2768680123059313</v>
      </c>
      <c r="CC16" s="1">
        <v>1.0890205349904136</v>
      </c>
      <c r="CD16" s="1">
        <v>1.1836925907293334</v>
      </c>
      <c r="CE16" s="1">
        <v>0.95826024233829221</v>
      </c>
      <c r="CF16" s="1">
        <v>0.97915421216748655</v>
      </c>
      <c r="CG16" s="1">
        <v>1.7096564013394526</v>
      </c>
      <c r="CH16" s="1">
        <v>1.3321168621056132</v>
      </c>
      <c r="CI16" s="1">
        <v>3.2678234947496092</v>
      </c>
    </row>
    <row r="17" spans="1:87" x14ac:dyDescent="0.3">
      <c r="A17" s="1">
        <v>0.58199509819678497</v>
      </c>
      <c r="B17" s="1">
        <v>0.69943503452232103</v>
      </c>
      <c r="C17" s="1">
        <v>1.410864323990245</v>
      </c>
      <c r="D17" s="1">
        <v>0.87231466396478941</v>
      </c>
      <c r="E17" s="1">
        <v>1.3272483713255496</v>
      </c>
      <c r="F17" s="1">
        <v>2.0038089850335381</v>
      </c>
      <c r="G17" s="1">
        <v>1.6728731149341911</v>
      </c>
      <c r="H17" s="1">
        <v>2.0361668182653374</v>
      </c>
      <c r="I17" s="1">
        <v>2.0038497536384967</v>
      </c>
      <c r="J17" s="1">
        <v>0.26933678782079373</v>
      </c>
      <c r="L17" s="1">
        <v>0.53758333504083566</v>
      </c>
      <c r="M17" s="1">
        <v>0.78097168928361493</v>
      </c>
      <c r="N17" s="1">
        <v>1.0010097452701303</v>
      </c>
      <c r="O17" s="1">
        <v>2.4144675227114929</v>
      </c>
      <c r="P17" s="1">
        <v>2.4024468686722686</v>
      </c>
      <c r="Q17" s="1">
        <v>1.4059062585933133</v>
      </c>
      <c r="R17" s="1">
        <v>1.7793130988720804</v>
      </c>
      <c r="S17" s="1">
        <v>2.0013959263218566</v>
      </c>
      <c r="T17" s="1">
        <v>1.5011936324677664</v>
      </c>
      <c r="U17" s="1">
        <v>3.5953171388246163E-2</v>
      </c>
      <c r="W17" s="1">
        <v>1.6145137376734056</v>
      </c>
      <c r="X17" s="1">
        <v>0.20711827649502079</v>
      </c>
      <c r="Y17" s="1">
        <v>1.4380538954734221</v>
      </c>
      <c r="Z17" s="1">
        <v>1.4066581489794772</v>
      </c>
      <c r="AA17" s="1">
        <v>0.78058566688850994</v>
      </c>
      <c r="AB17" s="1">
        <v>1.4601849023951217</v>
      </c>
      <c r="AC17" s="1">
        <v>1.4362216840381734</v>
      </c>
      <c r="AD17" s="1">
        <v>1.9713830559107008</v>
      </c>
      <c r="AE17" s="1">
        <v>0.93140088614891292</v>
      </c>
      <c r="AF17" s="1">
        <v>3.8933803170919417</v>
      </c>
      <c r="AH17" s="1">
        <v>1.7014455150056165</v>
      </c>
      <c r="AI17" s="1">
        <v>1.9918920346128288</v>
      </c>
      <c r="AJ17" s="1">
        <v>2.2749039584974526</v>
      </c>
      <c r="AK17" s="1">
        <v>1.725977759732632</v>
      </c>
      <c r="AL17" s="1">
        <v>3.3234098438872026</v>
      </c>
      <c r="AM17" s="1">
        <v>1.6213009793194941</v>
      </c>
      <c r="AN17" s="1">
        <v>1.3062912709428929</v>
      </c>
      <c r="AO17" s="1">
        <v>2.4130877980263903</v>
      </c>
      <c r="AP17" s="1">
        <v>0.97668235361343259</v>
      </c>
      <c r="AQ17" s="1">
        <v>0.672314790787641</v>
      </c>
      <c r="AS17" s="1">
        <v>1.4008893483842257</v>
      </c>
      <c r="AT17" s="1">
        <v>0.83562459015520285</v>
      </c>
      <c r="AU17" s="1">
        <v>3.0954057405702771</v>
      </c>
      <c r="AV17" s="1">
        <v>1.4829511120376992</v>
      </c>
      <c r="AW17" s="1">
        <v>0.80549922788050032</v>
      </c>
      <c r="AX17" s="1">
        <v>2.5834927136078476</v>
      </c>
      <c r="AY17" s="1">
        <v>1.7467922968207859</v>
      </c>
      <c r="AZ17" s="1">
        <v>1.9858590283314697</v>
      </c>
      <c r="BA17" s="1">
        <v>0.48276761339511731</v>
      </c>
      <c r="BB17" s="1">
        <v>1.6864084318483947</v>
      </c>
      <c r="BD17" s="1">
        <v>1.2830188350344542</v>
      </c>
      <c r="BE17" s="1">
        <v>1.2829043074190849</v>
      </c>
      <c r="BF17" s="1">
        <v>2.6883468348765747</v>
      </c>
      <c r="BG17" s="1">
        <v>1.3716750037099701</v>
      </c>
      <c r="BH17" s="1">
        <v>1.9098823870255728</v>
      </c>
      <c r="BI17" s="1">
        <v>1.7628247213782742</v>
      </c>
      <c r="BJ17" s="1">
        <v>1.4473552634299267</v>
      </c>
      <c r="BK17" s="1">
        <v>2.2633658707258291</v>
      </c>
      <c r="BL17" s="1">
        <v>2.1628146482195008</v>
      </c>
      <c r="BM17" s="1">
        <v>2.233291802437452</v>
      </c>
      <c r="BO17" s="1">
        <v>0.65799815981881693</v>
      </c>
      <c r="BP17" s="1">
        <v>1.1846911578060826</v>
      </c>
      <c r="BQ17" s="1">
        <v>1.2409386540108245</v>
      </c>
      <c r="BR17" s="1">
        <v>0.9694600667979103</v>
      </c>
      <c r="BS17" s="1">
        <v>1.3278038452146574</v>
      </c>
      <c r="BT17" s="1">
        <v>1.733890966430772</v>
      </c>
      <c r="BU17" s="1">
        <v>1.5445065779786091</v>
      </c>
      <c r="BV17" s="1">
        <v>2.2935765562346204</v>
      </c>
      <c r="BW17" s="1">
        <v>1.9503134848870105</v>
      </c>
      <c r="BX17" s="1">
        <v>2.1567803332771289</v>
      </c>
      <c r="BZ17" s="1">
        <v>0.99615624801663216</v>
      </c>
      <c r="CA17" s="1">
        <v>0.30699716565432023</v>
      </c>
      <c r="CB17" s="1">
        <v>1.8247170414193534</v>
      </c>
      <c r="CC17" s="1">
        <v>0.70643419904517946</v>
      </c>
      <c r="CD17" s="1">
        <v>2.1137627911404708</v>
      </c>
      <c r="CE17" s="1">
        <v>1.3981337168719619</v>
      </c>
      <c r="CF17" s="1">
        <v>1.5684622136759572</v>
      </c>
      <c r="CG17" s="1">
        <v>1.7764133124495856</v>
      </c>
      <c r="CH17" s="1">
        <v>1.7886888867375093</v>
      </c>
      <c r="CI17" s="1">
        <v>2.4866305284347616</v>
      </c>
    </row>
    <row r="18" spans="1:87" x14ac:dyDescent="0.3">
      <c r="A18" s="1">
        <v>0.75221442127804039</v>
      </c>
      <c r="B18" s="1">
        <v>0.97303104969905685</v>
      </c>
      <c r="C18" s="1">
        <v>2.2454145022871672</v>
      </c>
      <c r="D18" s="1">
        <v>1.441216673910094</v>
      </c>
      <c r="E18" s="1">
        <v>1.5415164554899092</v>
      </c>
      <c r="F18" s="1">
        <v>2.1384605851257219</v>
      </c>
      <c r="G18" s="1">
        <v>1.7180599949497264</v>
      </c>
      <c r="H18" s="1">
        <v>1.7045691427250858</v>
      </c>
      <c r="I18" s="1">
        <v>1.6494412688567537</v>
      </c>
      <c r="J18" s="1">
        <v>2.0506805003577027</v>
      </c>
      <c r="L18" s="1">
        <v>0.90298761076701339</v>
      </c>
      <c r="M18" s="1">
        <v>1.1637404926033923</v>
      </c>
      <c r="N18" s="1">
        <v>1.7410601271345514</v>
      </c>
      <c r="O18" s="1">
        <v>1.0902739323762944</v>
      </c>
      <c r="P18" s="1">
        <v>0.72225454206927686</v>
      </c>
      <c r="Q18" s="1">
        <v>1.86126024244586</v>
      </c>
      <c r="R18" s="1">
        <v>2.0252350092632696</v>
      </c>
      <c r="S18" s="1">
        <v>1.5510973687691147</v>
      </c>
      <c r="T18" s="1">
        <v>0.56467670623678723</v>
      </c>
      <c r="U18" s="1">
        <v>2.1537281827448167</v>
      </c>
      <c r="W18" s="1">
        <v>0.9351587121054763</v>
      </c>
      <c r="X18" s="1">
        <v>1.1192730228969594</v>
      </c>
      <c r="Y18" s="1">
        <v>2.9619455785374158</v>
      </c>
      <c r="Z18" s="1">
        <v>1.5953174771391787</v>
      </c>
      <c r="AA18" s="1">
        <v>1.7389770775655051</v>
      </c>
      <c r="AB18" s="1">
        <v>3.5197483874857425</v>
      </c>
      <c r="AC18" s="1">
        <v>1.030977220274508</v>
      </c>
      <c r="AD18" s="1">
        <v>1.6192794580769259</v>
      </c>
      <c r="AE18" s="1">
        <v>1.1515406681079186</v>
      </c>
      <c r="AF18" s="1">
        <v>2.491245077177882</v>
      </c>
      <c r="AH18" s="1">
        <v>0.83755344601377146</v>
      </c>
      <c r="AI18" s="1">
        <v>1.3319842795055592</v>
      </c>
      <c r="AJ18" s="1">
        <v>1.5605406628688798</v>
      </c>
      <c r="AK18" s="1">
        <v>1.3132547484099633</v>
      </c>
      <c r="AL18" s="1">
        <v>2.5651259122416379</v>
      </c>
      <c r="AM18" s="1">
        <v>1.3576002664980478</v>
      </c>
      <c r="AN18" s="1">
        <v>2.1051450327504426</v>
      </c>
      <c r="AO18" s="1">
        <v>2.1469032551744021</v>
      </c>
      <c r="AP18" s="1">
        <v>1.0759195942606312</v>
      </c>
      <c r="AQ18" s="1">
        <v>0.97406944405229301</v>
      </c>
      <c r="AS18" s="1">
        <v>1.5412834980234038</v>
      </c>
      <c r="AT18" s="1">
        <v>1.3700329903542297</v>
      </c>
      <c r="AU18" s="1">
        <v>0.41265466683544227</v>
      </c>
      <c r="AV18" s="1">
        <v>1.4053285814123229</v>
      </c>
      <c r="AW18" s="1">
        <v>1.6665999439457664</v>
      </c>
      <c r="AX18" s="1">
        <v>0.77357279122807077</v>
      </c>
      <c r="AY18" s="1">
        <v>1.1441511029843241</v>
      </c>
      <c r="AZ18" s="1">
        <v>1.9273616933554876</v>
      </c>
      <c r="BA18" s="1">
        <v>1.5538636075158139</v>
      </c>
      <c r="BB18" s="1">
        <v>0.13740366739220922</v>
      </c>
      <c r="BD18" s="1">
        <v>1.0971294866758399</v>
      </c>
      <c r="BE18" s="1">
        <v>1.9376115718216169</v>
      </c>
      <c r="BF18" s="1">
        <v>1.0138055399162114</v>
      </c>
      <c r="BG18" s="1">
        <v>1.6425816430535634</v>
      </c>
      <c r="BH18" s="1">
        <v>2.276968659515842</v>
      </c>
      <c r="BI18" s="1">
        <v>1.4568707037018611</v>
      </c>
      <c r="BJ18" s="1">
        <v>1.6270573193323798</v>
      </c>
      <c r="BK18" s="1">
        <v>1.6750555849052033</v>
      </c>
      <c r="BL18" s="1">
        <v>1.8080980721075322</v>
      </c>
      <c r="BM18" s="1">
        <v>2.1190996267221633</v>
      </c>
      <c r="BO18" s="1">
        <v>1.4438459200173384</v>
      </c>
      <c r="BP18" s="1">
        <v>1.084145836404059</v>
      </c>
      <c r="BQ18" s="1">
        <v>1.3917975633754396</v>
      </c>
      <c r="BR18" s="1">
        <v>1.2774058778712061</v>
      </c>
      <c r="BS18" s="1">
        <v>1.8440666892449371</v>
      </c>
      <c r="BT18" s="1">
        <v>0.88882486933143801</v>
      </c>
      <c r="BU18" s="1">
        <v>1.3917319317115471</v>
      </c>
      <c r="BV18" s="1">
        <v>1.6072918631602078</v>
      </c>
      <c r="BW18" s="1">
        <v>2.1470928954309785</v>
      </c>
      <c r="BX18" s="1">
        <v>2.6804231583781073</v>
      </c>
      <c r="BZ18" s="1">
        <v>1.225705889533856</v>
      </c>
      <c r="CA18" s="1">
        <v>2.1012837836053224</v>
      </c>
      <c r="CB18" s="1">
        <v>1.9817920060100733</v>
      </c>
      <c r="CC18" s="1">
        <v>1.8619506282528164</v>
      </c>
      <c r="CD18" s="1">
        <v>1.9016067810473032</v>
      </c>
      <c r="CE18" s="1">
        <v>2.1575999916298314</v>
      </c>
      <c r="CF18" s="1">
        <v>1.3464500094996765</v>
      </c>
      <c r="CG18" s="1">
        <v>1.6006116245756856</v>
      </c>
      <c r="CH18" s="1">
        <v>1.8176039970436251</v>
      </c>
      <c r="CI18" s="1">
        <v>0.91232657723303423</v>
      </c>
    </row>
    <row r="19" spans="1:87" x14ac:dyDescent="0.3">
      <c r="A19" s="1">
        <v>0.43884063213772606</v>
      </c>
      <c r="B19" s="1">
        <v>0.34377713139401744</v>
      </c>
      <c r="C19" s="1">
        <v>2.9989920262247325</v>
      </c>
      <c r="D19" s="1">
        <v>1.5255791287097964</v>
      </c>
      <c r="E19" s="1">
        <v>2.9528498700703496</v>
      </c>
      <c r="F19" s="1">
        <v>5.4500814154744059E-2</v>
      </c>
      <c r="G19" s="1">
        <v>1.7088163455482572</v>
      </c>
      <c r="H19" s="1">
        <v>2.1736787791945971</v>
      </c>
      <c r="I19" s="1">
        <v>1.7652716719036108</v>
      </c>
      <c r="J19" s="1">
        <v>1.0484690665150993</v>
      </c>
      <c r="L19" s="1">
        <v>0.27855697023915127</v>
      </c>
      <c r="M19" s="1">
        <v>2.0521765266777949</v>
      </c>
      <c r="N19" s="1">
        <v>0.90355352262267852</v>
      </c>
      <c r="O19" s="1">
        <v>1.4544430006106268</v>
      </c>
      <c r="P19" s="1">
        <v>0.84670297584962095</v>
      </c>
      <c r="Q19" s="1">
        <v>-0.2020203474909068</v>
      </c>
      <c r="R19" s="1">
        <v>1.6662115209910553</v>
      </c>
      <c r="S19" s="1">
        <v>2.1577680788817815</v>
      </c>
      <c r="T19" s="1">
        <v>1.0287452409480466</v>
      </c>
      <c r="U19" s="1">
        <v>0.10525939614744861</v>
      </c>
      <c r="W19" s="1">
        <v>1.626407654635841</v>
      </c>
      <c r="X19" s="1">
        <v>0.99107451508752997</v>
      </c>
      <c r="Y19" s="1">
        <v>2.594941274257144</v>
      </c>
      <c r="Z19" s="1">
        <v>0.9139683844376123</v>
      </c>
      <c r="AA19" s="1">
        <v>0.43500928515568371</v>
      </c>
      <c r="AB19" s="1">
        <v>1.7666955308290198</v>
      </c>
      <c r="AC19" s="1">
        <v>1.7905926521634683</v>
      </c>
      <c r="AD19" s="1">
        <v>1.613851593696745</v>
      </c>
      <c r="AE19" s="1">
        <v>1.3582511923610583</v>
      </c>
      <c r="AF19" s="1">
        <v>1.9945211351994658</v>
      </c>
      <c r="AH19" s="1">
        <v>1.2797031584123033</v>
      </c>
      <c r="AI19" s="1">
        <v>1.0821349436184391</v>
      </c>
      <c r="AJ19" s="1">
        <v>1.7515679741714849</v>
      </c>
      <c r="AK19" s="1">
        <v>1.3877133743415471</v>
      </c>
      <c r="AL19" s="1">
        <v>2.6498380677541715</v>
      </c>
      <c r="AM19" s="1">
        <v>1.9106503522256388</v>
      </c>
      <c r="AN19" s="1">
        <v>0.96331990940961987</v>
      </c>
      <c r="AO19" s="1">
        <v>1.9447221282229292</v>
      </c>
      <c r="AP19" s="1">
        <v>0.38546077525243172</v>
      </c>
      <c r="AQ19" s="1">
        <v>2.7340931228507541</v>
      </c>
      <c r="AS19" s="1">
        <v>0.65992856232332997</v>
      </c>
      <c r="AT19" s="1">
        <v>1.6576922947308048</v>
      </c>
      <c r="AU19" s="1">
        <v>1.2473974306354649</v>
      </c>
      <c r="AV19" s="1">
        <v>1.2470213651875384</v>
      </c>
      <c r="AW19" s="1">
        <v>0.88588218861259516</v>
      </c>
      <c r="AX19" s="1">
        <v>2.0027512426953762</v>
      </c>
      <c r="AY19" s="1">
        <v>1.4532142282987479</v>
      </c>
      <c r="AZ19" s="1">
        <v>0.88808891884982577</v>
      </c>
      <c r="BA19" s="1">
        <v>2.0656533292290988</v>
      </c>
      <c r="BB19" s="1">
        <v>1.8706077116774396</v>
      </c>
      <c r="BD19" s="1">
        <v>1.1776851377144339</v>
      </c>
      <c r="BE19" s="1">
        <v>1.3281309778278227</v>
      </c>
      <c r="BF19" s="1">
        <v>2.2307302555796924</v>
      </c>
      <c r="BG19" s="1">
        <v>1.1192964767440572</v>
      </c>
      <c r="BH19" s="1">
        <v>0.81463191892835318</v>
      </c>
      <c r="BI19" s="1">
        <v>1.6555316314101218</v>
      </c>
      <c r="BJ19" s="1">
        <v>0.99800076137762517</v>
      </c>
      <c r="BK19" s="1">
        <v>2.0457392500014975</v>
      </c>
      <c r="BL19" s="1">
        <v>1.1600535385165132</v>
      </c>
      <c r="BM19" s="1">
        <v>2.4063271484890718</v>
      </c>
      <c r="BO19" s="1">
        <v>0.42133626973372884</v>
      </c>
      <c r="BP19" s="1">
        <v>1.4434244379401207</v>
      </c>
      <c r="BQ19" s="1">
        <v>1.3195477590139491</v>
      </c>
      <c r="BR19" s="1">
        <v>1.0792377826044686</v>
      </c>
      <c r="BS19" s="1">
        <v>1.573229398872354</v>
      </c>
      <c r="BT19" s="1">
        <v>2.1570251909783109</v>
      </c>
      <c r="BU19" s="1">
        <v>1.1455580912879668</v>
      </c>
      <c r="BV19" s="1">
        <v>2.0695530045253689</v>
      </c>
      <c r="BW19" s="1">
        <v>1.7770740709616804</v>
      </c>
      <c r="BX19" s="1">
        <v>2.4056375241314525</v>
      </c>
      <c r="BZ19" s="1">
        <v>0.64369635563343763</v>
      </c>
      <c r="CA19" s="1">
        <v>0.48014267425169233</v>
      </c>
      <c r="CB19" s="1">
        <v>2.3810169790900546</v>
      </c>
      <c r="CC19" s="1">
        <v>1.6937032033718424</v>
      </c>
      <c r="CD19" s="1">
        <v>2.458471742301481</v>
      </c>
      <c r="CE19" s="1">
        <v>1.5140615495387464</v>
      </c>
      <c r="CF19" s="1">
        <v>1.5384766281058546</v>
      </c>
      <c r="CG19" s="1">
        <v>1.7229177435860037</v>
      </c>
      <c r="CH19" s="1">
        <v>1.156720808868704</v>
      </c>
      <c r="CI19" s="1">
        <v>3.4625963326077907</v>
      </c>
    </row>
    <row r="20" spans="1:87" x14ac:dyDescent="0.3">
      <c r="A20" s="1">
        <v>0.74822799231333192</v>
      </c>
      <c r="B20" s="1">
        <v>0.53055687506566751</v>
      </c>
      <c r="C20" s="1">
        <v>1.9549748726072722</v>
      </c>
      <c r="D20" s="1">
        <v>2.0546350389020516</v>
      </c>
      <c r="E20" s="1">
        <v>1.7439652012573787</v>
      </c>
      <c r="F20" s="1">
        <v>0.90819164951099074</v>
      </c>
      <c r="G20" s="1">
        <v>1.3991729626141023</v>
      </c>
      <c r="H20" s="1">
        <v>1.885752765496727</v>
      </c>
      <c r="I20" s="1">
        <v>1.2335145624470898</v>
      </c>
      <c r="J20" s="1">
        <v>2.6223698841902658</v>
      </c>
      <c r="L20" s="1">
        <v>0.88942533946101321</v>
      </c>
      <c r="M20" s="1">
        <v>1.5639340775407617</v>
      </c>
      <c r="N20" s="1">
        <v>1.8799301910272335</v>
      </c>
      <c r="O20" s="1">
        <v>1.4993288378798753</v>
      </c>
      <c r="P20" s="1">
        <v>1.1436157066957093</v>
      </c>
      <c r="Q20" s="1">
        <v>9.3412635475397021E-2</v>
      </c>
      <c r="R20" s="1">
        <v>0.86559288471471518</v>
      </c>
      <c r="S20" s="1">
        <v>1.301965396828018</v>
      </c>
      <c r="T20" s="1">
        <v>1.952517304236244</v>
      </c>
      <c r="U20" s="1">
        <v>2.0556234903750008</v>
      </c>
      <c r="W20" s="1">
        <v>0.34903144094278105</v>
      </c>
      <c r="X20" s="1">
        <v>1.0281505213526543</v>
      </c>
      <c r="Y20" s="1">
        <v>1.9187783477187623</v>
      </c>
      <c r="Z20" s="1">
        <v>1.778313495477778</v>
      </c>
      <c r="AA20" s="1">
        <v>0.72040508459322161</v>
      </c>
      <c r="AB20" s="1">
        <v>2.7399912859313189</v>
      </c>
      <c r="AC20" s="1">
        <v>1.1449232639861293</v>
      </c>
      <c r="AD20" s="1">
        <v>1.7751609382452442</v>
      </c>
      <c r="AE20" s="1">
        <v>1.1053531165467576</v>
      </c>
      <c r="AF20" s="1">
        <v>1.6446319295908325</v>
      </c>
      <c r="AH20" s="1">
        <v>0.27243607089621946</v>
      </c>
      <c r="AI20" s="1">
        <v>0.22576473687076937</v>
      </c>
      <c r="AJ20" s="1">
        <v>1.7697115976639908</v>
      </c>
      <c r="AK20" s="1">
        <v>2.1839151632855645</v>
      </c>
      <c r="AL20" s="1">
        <v>1.8280773176404181</v>
      </c>
      <c r="AM20" s="1">
        <v>1.0023670973954721</v>
      </c>
      <c r="AN20" s="1">
        <v>0.86741551209706813</v>
      </c>
      <c r="AO20" s="1">
        <v>1.5614551491802557</v>
      </c>
      <c r="AP20" s="1">
        <v>1.974690785065468</v>
      </c>
      <c r="AQ20" s="1">
        <v>1.2540160059841583</v>
      </c>
      <c r="AS20" s="1">
        <v>1.5898675681237364</v>
      </c>
      <c r="AT20" s="1">
        <v>0.73583437672932628</v>
      </c>
      <c r="AU20" s="1">
        <v>-0.44918615054339162</v>
      </c>
      <c r="AV20" s="1">
        <v>0.41296526988735427</v>
      </c>
      <c r="AW20" s="1">
        <v>2.0727516286744505</v>
      </c>
      <c r="AX20" s="1">
        <v>2.4220082913292571</v>
      </c>
      <c r="AY20" s="1">
        <v>1.1735159584204666</v>
      </c>
      <c r="AZ20" s="1">
        <v>3.0755037121474742</v>
      </c>
      <c r="BA20" s="1">
        <v>1.5726958321843996</v>
      </c>
      <c r="BB20" s="1">
        <v>2.2289668140700085</v>
      </c>
      <c r="BD20" s="1">
        <v>0.97204440660425462</v>
      </c>
      <c r="BE20" s="1">
        <v>1.1352714894484961</v>
      </c>
      <c r="BF20" s="1">
        <v>1.5257224772009068</v>
      </c>
      <c r="BG20" s="1">
        <v>1.3910563358047512</v>
      </c>
      <c r="BH20" s="1">
        <v>1.3947066165375872</v>
      </c>
      <c r="BI20" s="1">
        <v>0.4449487086152657</v>
      </c>
      <c r="BJ20" s="1">
        <v>1.3352886905195192</v>
      </c>
      <c r="BK20" s="1">
        <v>2.1806814336508977</v>
      </c>
      <c r="BL20" s="1">
        <v>1.2871952134824824</v>
      </c>
      <c r="BM20" s="1">
        <v>2.162670789399999</v>
      </c>
      <c r="BO20" s="1">
        <v>0.66065161061123945</v>
      </c>
      <c r="BP20" s="1">
        <v>0.96527124090353023</v>
      </c>
      <c r="BQ20" s="1">
        <v>0.43570126257836828</v>
      </c>
      <c r="BR20" s="1">
        <v>1.5110630248353119</v>
      </c>
      <c r="BS20" s="1">
        <v>1.4892215333195054</v>
      </c>
      <c r="BT20" s="1">
        <v>0.43539719525724641</v>
      </c>
      <c r="BU20" s="1">
        <v>1.0024081727024168</v>
      </c>
      <c r="BV20" s="1">
        <v>2.0585358404554426</v>
      </c>
      <c r="BW20" s="1">
        <v>1.0131894709425979</v>
      </c>
      <c r="BX20" s="1">
        <v>2.028495878218382</v>
      </c>
      <c r="BZ20" s="1">
        <v>1.5840024641656782</v>
      </c>
      <c r="CA20" s="1">
        <v>1.9706767064519226</v>
      </c>
      <c r="CB20" s="1">
        <v>2.8392702046781779</v>
      </c>
      <c r="CC20" s="1">
        <v>1.8192032404011116</v>
      </c>
      <c r="CD20" s="1">
        <v>2.7997873687301764</v>
      </c>
      <c r="CE20" s="1">
        <v>2.242886947793886</v>
      </c>
      <c r="CF20" s="1">
        <v>0.87049688014667481</v>
      </c>
      <c r="CG20" s="1">
        <v>2.7030656317714601</v>
      </c>
      <c r="CH20" s="1">
        <v>1.7648277248023079</v>
      </c>
      <c r="CI20" s="1">
        <v>1.1247349721059436</v>
      </c>
    </row>
    <row r="21" spans="1:87" x14ac:dyDescent="0.3">
      <c r="A21" s="1">
        <v>0.43393049761652946</v>
      </c>
      <c r="B21" s="1">
        <v>1.2237132553593255</v>
      </c>
      <c r="C21" s="1">
        <v>3.1017658370197752</v>
      </c>
      <c r="D21" s="1">
        <v>0.8590394519240363</v>
      </c>
      <c r="E21" s="1">
        <v>3.2221830835798757</v>
      </c>
      <c r="F21" s="1">
        <v>1.2618950485251843</v>
      </c>
      <c r="G21" s="1">
        <v>1.7391743691987358</v>
      </c>
      <c r="H21" s="1">
        <v>1.4951957316719926</v>
      </c>
      <c r="I21" s="1">
        <v>1.7985421249628417</v>
      </c>
      <c r="J21" s="1">
        <v>1.8266825281869388</v>
      </c>
      <c r="L21" s="1">
        <v>1.1953185346792452</v>
      </c>
      <c r="M21" s="1">
        <v>2.2756966730696151</v>
      </c>
      <c r="N21" s="1">
        <v>3.1520163287874312</v>
      </c>
      <c r="O21" s="1">
        <v>1.6862896846840159</v>
      </c>
      <c r="P21" s="1">
        <v>0.67048246566555458</v>
      </c>
      <c r="Q21" s="1">
        <v>2.4128023859579115</v>
      </c>
      <c r="R21" s="1">
        <v>1.7217257133452222</v>
      </c>
      <c r="S21" s="1">
        <v>2.3337980499258264</v>
      </c>
      <c r="T21" s="1">
        <v>1.2023200310446556</v>
      </c>
      <c r="U21" s="1">
        <v>1.4045249872622663</v>
      </c>
      <c r="W21" s="1">
        <v>1.2106446572724963</v>
      </c>
      <c r="X21" s="1">
        <v>2.0577508197049612</v>
      </c>
      <c r="Y21" s="1">
        <v>1.879814003079082</v>
      </c>
      <c r="Z21" s="1">
        <v>1.176057472647517</v>
      </c>
      <c r="AA21" s="1">
        <v>2.7190510693064427</v>
      </c>
      <c r="AB21" s="1">
        <v>0.33024141783826044</v>
      </c>
      <c r="AC21" s="1">
        <v>2.22066904976964</v>
      </c>
      <c r="AD21" s="1">
        <v>1.8961901266942731</v>
      </c>
      <c r="AE21" s="1">
        <v>1.7874980171123753</v>
      </c>
      <c r="AF21" s="1">
        <v>1.8138733184940066</v>
      </c>
      <c r="AH21" s="1">
        <v>1.3879409860019223</v>
      </c>
      <c r="AI21" s="1">
        <v>0.60364750727894712</v>
      </c>
      <c r="AJ21" s="1">
        <v>2.1811912160424982</v>
      </c>
      <c r="AK21" s="1">
        <v>0.7950144355243538</v>
      </c>
      <c r="AL21" s="1">
        <v>0.85774242253974076</v>
      </c>
      <c r="AM21" s="1">
        <v>1.8257199179846793</v>
      </c>
      <c r="AN21" s="1">
        <v>1.9785879355040379</v>
      </c>
      <c r="AO21" s="1">
        <v>2.1023211891355458</v>
      </c>
      <c r="AP21" s="1">
        <v>1.9230582024116303</v>
      </c>
      <c r="AQ21" s="1">
        <v>2.3047538707003694</v>
      </c>
      <c r="AS21" s="1">
        <v>0.78688606461219024</v>
      </c>
      <c r="AT21" s="1">
        <v>1.9976314009283669</v>
      </c>
      <c r="AU21" s="1">
        <v>1.2229844327899628</v>
      </c>
      <c r="AV21" s="1">
        <v>2.2723089533508753</v>
      </c>
      <c r="AW21" s="1">
        <v>1.3816378597941366</v>
      </c>
      <c r="AX21" s="1">
        <v>0.9921552908839657</v>
      </c>
      <c r="AY21" s="1">
        <v>1.6340285962214693</v>
      </c>
      <c r="AZ21" s="1">
        <v>1.8159249455260578</v>
      </c>
      <c r="BA21" s="1">
        <v>2.3368385013251101</v>
      </c>
      <c r="BB21" s="1">
        <v>2.5774051482556386</v>
      </c>
      <c r="BD21" s="1">
        <v>0.96809776803274872</v>
      </c>
      <c r="BE21" s="1">
        <v>0.9957013420091243</v>
      </c>
      <c r="BF21" s="1">
        <v>1.4903400637573214</v>
      </c>
      <c r="BG21" s="1">
        <v>2.1592769518145358</v>
      </c>
      <c r="BH21" s="1">
        <v>2.1754920155392026</v>
      </c>
      <c r="BI21" s="1">
        <v>1.6786327968351542</v>
      </c>
      <c r="BJ21" s="1">
        <v>1.7237984517705627</v>
      </c>
      <c r="BK21" s="1">
        <v>2.4844431143486871</v>
      </c>
      <c r="BL21" s="1">
        <v>1.5783250359541854</v>
      </c>
      <c r="BM21" s="1">
        <v>0.82914396443520677</v>
      </c>
      <c r="BO21" s="1">
        <v>0.86787599937088089</v>
      </c>
      <c r="BP21" s="1">
        <v>0.59401732262922446</v>
      </c>
      <c r="BQ21" s="1">
        <v>1.3858568576702965</v>
      </c>
      <c r="BR21" s="1">
        <v>0.81646259432891388</v>
      </c>
      <c r="BS21" s="1">
        <v>2.029627596329374</v>
      </c>
      <c r="BT21" s="1">
        <v>1.122018401371315</v>
      </c>
      <c r="BU21" s="1">
        <v>1.4741712599643506</v>
      </c>
      <c r="BV21" s="1">
        <v>2.6626113074366002</v>
      </c>
      <c r="BW21" s="1">
        <v>1.4068267359485618</v>
      </c>
      <c r="BX21" s="1">
        <v>1.8733007254893892</v>
      </c>
      <c r="BZ21" s="1">
        <v>1.5900983524043113</v>
      </c>
      <c r="CA21" s="1">
        <v>2.3528009054018186</v>
      </c>
      <c r="CB21" s="1">
        <v>0.68362087808200178</v>
      </c>
      <c r="CC21" s="1">
        <v>0.79571474644471896</v>
      </c>
      <c r="CD21" s="1">
        <v>1.903729200620728</v>
      </c>
      <c r="CE21" s="1">
        <v>0.41049704931210718</v>
      </c>
      <c r="CF21" s="1">
        <v>1.786187969322782</v>
      </c>
      <c r="CG21" s="1">
        <v>2.1654610398167278</v>
      </c>
      <c r="CH21" s="1">
        <v>0.55570454100379729</v>
      </c>
      <c r="CI21" s="1">
        <v>3.303864041296765</v>
      </c>
    </row>
    <row r="22" spans="1:87" x14ac:dyDescent="0.3">
      <c r="A22" s="1">
        <v>0.75286300468724221</v>
      </c>
      <c r="B22" s="1">
        <v>1.2208196979656349</v>
      </c>
      <c r="C22" s="1">
        <v>1.279022039345</v>
      </c>
      <c r="D22" s="1">
        <v>1.5227034201496281</v>
      </c>
      <c r="E22" s="1">
        <v>1.2275384208071045</v>
      </c>
      <c r="F22" s="1">
        <v>1.1853683453286066</v>
      </c>
      <c r="G22" s="1">
        <v>1.5852951416163705</v>
      </c>
      <c r="H22" s="1">
        <v>2.5545742508023976</v>
      </c>
      <c r="I22" s="1">
        <v>1.8018157374550356</v>
      </c>
      <c r="J22" s="1">
        <v>0.7186567290744279</v>
      </c>
      <c r="L22" s="1">
        <v>0.71252464092685841</v>
      </c>
      <c r="M22" s="1">
        <v>1.0869043338345363</v>
      </c>
      <c r="N22" s="1">
        <v>2.383116320235422</v>
      </c>
      <c r="O22" s="1">
        <v>1.3571344571653754</v>
      </c>
      <c r="P22" s="1">
        <v>0.75511504039168365</v>
      </c>
      <c r="Q22" s="1">
        <v>1.0232827470521442</v>
      </c>
      <c r="R22" s="1">
        <v>2.0214897100813687</v>
      </c>
      <c r="S22" s="1">
        <v>1.6782383616140577</v>
      </c>
      <c r="T22" s="1">
        <v>1.1069731539842906</v>
      </c>
      <c r="U22" s="1">
        <v>0.40506386539782402</v>
      </c>
      <c r="W22" s="1">
        <v>1.0816993406260735</v>
      </c>
      <c r="X22" s="1">
        <v>1.1888227648625616</v>
      </c>
      <c r="Y22" s="1">
        <v>1.8840540673787474</v>
      </c>
      <c r="Z22" s="1">
        <v>0.80391611491795634</v>
      </c>
      <c r="AA22" s="1">
        <v>0.28069895708467807</v>
      </c>
      <c r="AB22" s="1">
        <v>0.66891177892684928</v>
      </c>
      <c r="AC22" s="1">
        <v>1.788723185803974</v>
      </c>
      <c r="AD22" s="1">
        <v>2.2381510396138764</v>
      </c>
      <c r="AE22" s="1">
        <v>2.2569052857230418</v>
      </c>
      <c r="AF22" s="1">
        <v>2.1666325483209219</v>
      </c>
      <c r="AH22" s="1">
        <v>0.8358185848701396</v>
      </c>
      <c r="AI22" s="1">
        <v>0.50703597783576693</v>
      </c>
      <c r="AJ22" s="1">
        <v>2.3704279596509878</v>
      </c>
      <c r="AK22" s="1">
        <v>1.9386687800841174</v>
      </c>
      <c r="AL22" s="1">
        <v>0.89972924544708799</v>
      </c>
      <c r="AM22" s="1">
        <v>0.56685919743031254</v>
      </c>
      <c r="AN22" s="1">
        <v>2.0551619324251078</v>
      </c>
      <c r="AO22" s="1">
        <v>1.4168109307996928</v>
      </c>
      <c r="AP22" s="1">
        <v>1.9828961325780257</v>
      </c>
      <c r="AQ22" s="1">
        <v>1.8464585809822893</v>
      </c>
      <c r="AS22" s="1">
        <v>0.97985639765829546</v>
      </c>
      <c r="AT22" s="1">
        <v>1.9775333870085887</v>
      </c>
      <c r="AU22" s="1">
        <v>1.2740179994958454</v>
      </c>
      <c r="AV22" s="1">
        <v>1.4844648522819626</v>
      </c>
      <c r="AW22" s="1">
        <v>2.0586339971661802</v>
      </c>
      <c r="AX22" s="1">
        <v>3.0451958799734711</v>
      </c>
      <c r="AY22" s="1">
        <v>2.4446957847103477</v>
      </c>
      <c r="AZ22" s="1">
        <v>1.7229513948899693</v>
      </c>
      <c r="BA22" s="1">
        <v>1.565145889291307</v>
      </c>
      <c r="BB22" s="1">
        <v>1.0729742643859936</v>
      </c>
      <c r="BD22" s="1">
        <v>1.167616462931619</v>
      </c>
      <c r="BE22" s="1">
        <v>1.243067075239378</v>
      </c>
      <c r="BF22" s="1">
        <v>2.2407606178981951</v>
      </c>
      <c r="BG22" s="1">
        <v>1.9147570275061299</v>
      </c>
      <c r="BH22" s="1">
        <v>0.53420514379395168</v>
      </c>
      <c r="BI22" s="1">
        <v>1.578989466803614</v>
      </c>
      <c r="BJ22" s="1">
        <v>1.4629985723004211</v>
      </c>
      <c r="BK22" s="1">
        <v>2.048817434819648</v>
      </c>
      <c r="BL22" s="1">
        <v>0.93752178549184473</v>
      </c>
      <c r="BM22" s="1">
        <v>0.58446033108048145</v>
      </c>
      <c r="BO22" s="1">
        <v>1.0328225269186078</v>
      </c>
      <c r="BP22" s="1">
        <v>0.9297109075589105</v>
      </c>
      <c r="BQ22" s="1">
        <v>2.5861969374469482</v>
      </c>
      <c r="BR22" s="1">
        <v>0.71318947094259788</v>
      </c>
      <c r="BS22" s="1">
        <v>1.0273083873646101</v>
      </c>
      <c r="BT22" s="1">
        <v>-0.23124786922708163</v>
      </c>
      <c r="BU22" s="1">
        <v>1.6099829205486458</v>
      </c>
      <c r="BV22" s="1">
        <v>1.2235724105034023</v>
      </c>
      <c r="BW22" s="1">
        <v>1.8743962568274584</v>
      </c>
      <c r="BX22" s="1">
        <v>2.5246417226269839</v>
      </c>
      <c r="BZ22" s="1">
        <v>1.8388997230213135</v>
      </c>
      <c r="CA22" s="1">
        <v>1.5593106612242991</v>
      </c>
      <c r="CB22" s="1">
        <v>1.999436657971819</v>
      </c>
      <c r="CC22" s="1">
        <v>1.6982040652772412</v>
      </c>
      <c r="CD22" s="1">
        <v>2.0792470124608373</v>
      </c>
      <c r="CE22" s="1">
        <v>1.9648907972499727</v>
      </c>
      <c r="CF22" s="1">
        <v>0.89942790661007166</v>
      </c>
      <c r="CG22" s="1">
        <v>1.992446498456411</v>
      </c>
      <c r="CH22" s="1">
        <v>1.1300811406195863</v>
      </c>
      <c r="CI22" s="1">
        <v>2.1400093646632738</v>
      </c>
    </row>
    <row r="23" spans="1:87" x14ac:dyDescent="0.3">
      <c r="A23" s="1">
        <v>0.63100776767532807</v>
      </c>
      <c r="B23" s="1">
        <v>0.64804949336685236</v>
      </c>
      <c r="C23" s="1">
        <v>1.7500885673522135</v>
      </c>
      <c r="D23" s="1">
        <v>2.0150038072722962</v>
      </c>
      <c r="E23" s="1">
        <v>2.2311142103892054</v>
      </c>
      <c r="F23" s="1">
        <v>2.1633698260178789</v>
      </c>
      <c r="G23" s="1">
        <v>1.655330326379044</v>
      </c>
      <c r="H23" s="1">
        <v>1.8356327862187753</v>
      </c>
      <c r="I23" s="1">
        <v>1.5544013462582371</v>
      </c>
      <c r="J23" s="1">
        <v>2.620282593849697</v>
      </c>
      <c r="L23" s="1">
        <v>1.0207177208721987</v>
      </c>
      <c r="M23" s="1">
        <v>0.67865762806031849</v>
      </c>
      <c r="N23" s="1">
        <v>2.3643734534212855</v>
      </c>
      <c r="O23" s="1">
        <v>1.2032991127023707</v>
      </c>
      <c r="P23" s="1">
        <v>1.8932492068590363</v>
      </c>
      <c r="Q23" s="1">
        <v>1.4210857251659035</v>
      </c>
      <c r="R23" s="1">
        <v>1.7972865331685171</v>
      </c>
      <c r="S23" s="1">
        <v>2.2893283064826391</v>
      </c>
      <c r="T23" s="1">
        <v>0.98401856525160847</v>
      </c>
      <c r="U23" s="1">
        <v>2.460123987472616</v>
      </c>
      <c r="W23" s="1">
        <v>0.58631974550371524</v>
      </c>
      <c r="X23" s="1">
        <v>0.64114506433834317</v>
      </c>
      <c r="Y23" s="1">
        <v>2.3359424216701883</v>
      </c>
      <c r="Z23" s="1">
        <v>2.4808697308879344</v>
      </c>
      <c r="AA23" s="1">
        <v>1.1489603523106779</v>
      </c>
      <c r="AB23" s="1">
        <v>1.6597853381303138</v>
      </c>
      <c r="AC23" s="1">
        <v>1.6375619831378572</v>
      </c>
      <c r="AD23" s="1">
        <v>1.9940499376156366</v>
      </c>
      <c r="AE23" s="1">
        <v>0.21349351704120645</v>
      </c>
      <c r="AF23" s="1">
        <v>0.59432789384736684</v>
      </c>
      <c r="AH23" s="1">
        <v>0.96096562426828314</v>
      </c>
      <c r="AI23" s="1">
        <v>1.1040999227872816</v>
      </c>
      <c r="AJ23" s="1">
        <v>-0.46945696845650664</v>
      </c>
      <c r="AK23" s="1">
        <v>0.88036596581223425</v>
      </c>
      <c r="AL23" s="1">
        <v>1.4515830045813345</v>
      </c>
      <c r="AM23" s="1">
        <v>2.2376810001209377</v>
      </c>
      <c r="AN23" s="1">
        <v>2.2209819159470499</v>
      </c>
      <c r="AO23" s="1">
        <v>2.5850204954389482</v>
      </c>
      <c r="AP23" s="1">
        <v>1.7835644525272074</v>
      </c>
      <c r="AQ23" s="1">
        <v>1.2418002415841329</v>
      </c>
      <c r="AS23" s="1">
        <v>1.1717489794827998</v>
      </c>
      <c r="AT23" s="1">
        <v>1.0908729139657225</v>
      </c>
      <c r="AU23" s="1">
        <v>1.519149104243843</v>
      </c>
      <c r="AV23" s="1">
        <v>1.0521712202797062</v>
      </c>
      <c r="AW23" s="1">
        <v>2.2653896550938954</v>
      </c>
      <c r="AX23" s="1">
        <v>2.4574658517725765</v>
      </c>
      <c r="AY23" s="1">
        <v>1.1085525708622299</v>
      </c>
      <c r="AZ23" s="1">
        <v>1.4721591403707861</v>
      </c>
      <c r="BA23" s="1">
        <v>2.8116379366489128</v>
      </c>
      <c r="BB23" s="1">
        <v>1.0764039689063793</v>
      </c>
      <c r="BD23" s="1">
        <v>0.56471015138959046</v>
      </c>
      <c r="BE23" s="1">
        <v>1.0736998350068461</v>
      </c>
      <c r="BF23" s="1">
        <v>0.80577261036669379</v>
      </c>
      <c r="BG23" s="1">
        <v>1.7916603302262957</v>
      </c>
      <c r="BH23" s="1">
        <v>0.8385411703959107</v>
      </c>
      <c r="BI23" s="1">
        <v>1.7839804776362143</v>
      </c>
      <c r="BJ23" s="1">
        <v>1.6630478436709382</v>
      </c>
      <c r="BK23" s="1">
        <v>2.0891112333396449</v>
      </c>
      <c r="BL23" s="1">
        <v>2.3252560862980318</v>
      </c>
      <c r="BM23" s="1">
        <v>2.3906110800424356</v>
      </c>
      <c r="BO23" s="1">
        <v>0.71441809520911193</v>
      </c>
      <c r="BP23" s="1">
        <v>0.7234770722163375</v>
      </c>
      <c r="BQ23" s="1">
        <v>1.3194315710657976</v>
      </c>
      <c r="BR23" s="1">
        <v>2.2728182703838682</v>
      </c>
      <c r="BS23" s="1">
        <v>1.1621492760416003</v>
      </c>
      <c r="BT23" s="1">
        <v>1.6835795385180972</v>
      </c>
      <c r="BU23" s="1">
        <v>1.4155807017814368</v>
      </c>
      <c r="BV23" s="1">
        <v>1.8912324710749089</v>
      </c>
      <c r="BW23" s="1">
        <v>1.3408190210990143</v>
      </c>
      <c r="BX23" s="1">
        <v>1.008198687483673</v>
      </c>
      <c r="BZ23" s="1">
        <v>0.91418917488772422</v>
      </c>
      <c r="CA23" s="1">
        <v>0.34555337454657997</v>
      </c>
      <c r="CB23" s="1">
        <v>1.5640263013134246</v>
      </c>
      <c r="CC23" s="1">
        <v>0.49770743872504686</v>
      </c>
      <c r="CD23" s="1">
        <v>1.7368315795640228</v>
      </c>
      <c r="CE23" s="1">
        <v>0.3254320098552852</v>
      </c>
      <c r="CF23" s="1">
        <v>1.3516741470666602</v>
      </c>
      <c r="CG23" s="1">
        <v>1.4401640262571163</v>
      </c>
      <c r="CH23" s="1">
        <v>1.9744878540601349</v>
      </c>
      <c r="CI23" s="1">
        <v>2.602092472440563</v>
      </c>
    </row>
    <row r="24" spans="1:87" x14ac:dyDescent="0.3">
      <c r="A24" s="1">
        <v>0.82711415213998407</v>
      </c>
      <c r="B24" s="1">
        <v>1.0343100742204114</v>
      </c>
      <c r="C24" s="1">
        <v>2.0478042683331297</v>
      </c>
      <c r="D24" s="1">
        <v>0.9521751199907158</v>
      </c>
      <c r="E24" s="1">
        <v>3.0241733540780844</v>
      </c>
      <c r="F24" s="1">
        <v>-3.4873411199078053E-2</v>
      </c>
      <c r="G24" s="1">
        <v>1.5852328412292991</v>
      </c>
      <c r="H24" s="1">
        <v>1.2159053701674565</v>
      </c>
      <c r="I24" s="1">
        <v>1.2255121459398652</v>
      </c>
      <c r="J24" s="1">
        <v>-0.27037919608410443</v>
      </c>
      <c r="L24" s="1">
        <v>0.89506250130943954</v>
      </c>
      <c r="M24" s="1">
        <v>1.3361725026072235</v>
      </c>
      <c r="N24" s="1">
        <v>2.0195801466266858</v>
      </c>
      <c r="O24" s="1">
        <v>1.950968559057219</v>
      </c>
      <c r="P24" s="1">
        <v>2.0487779167699047</v>
      </c>
      <c r="Q24" s="1">
        <v>2.0064974513719789</v>
      </c>
      <c r="R24" s="1">
        <v>1.5875193109095562</v>
      </c>
      <c r="S24" s="1">
        <v>1.901025000528898</v>
      </c>
      <c r="T24" s="1">
        <v>1.8201295501436108</v>
      </c>
      <c r="U24" s="1">
        <v>1.2467156056998647</v>
      </c>
      <c r="W24" s="1">
        <v>0.74400736846291693</v>
      </c>
      <c r="X24" s="1">
        <v>1.4170891093555837</v>
      </c>
      <c r="Y24" s="1">
        <v>1.6492788103656495</v>
      </c>
      <c r="Z24" s="1">
        <v>1.9427546850318322</v>
      </c>
      <c r="AA24" s="1">
        <v>1.7790722651800024</v>
      </c>
      <c r="AB24" s="1">
        <v>0.60043774181976906</v>
      </c>
      <c r="AC24" s="1">
        <v>1.1367259882390499</v>
      </c>
      <c r="AD24" s="1">
        <v>2.051640961121302</v>
      </c>
      <c r="AE24" s="1">
        <v>1.2468943663785468</v>
      </c>
      <c r="AF24" s="1">
        <v>2.5339158401009625</v>
      </c>
      <c r="AH24" s="1">
        <v>0.23145423963433132</v>
      </c>
      <c r="AI24" s="1">
        <v>1.229869397621951</v>
      </c>
      <c r="AJ24" s="1">
        <v>1.620485686036409</v>
      </c>
      <c r="AK24" s="1">
        <v>1.0841189269820461</v>
      </c>
      <c r="AL24" s="1">
        <v>2.0198479134880474</v>
      </c>
      <c r="AM24" s="1">
        <v>1.4098225427791475</v>
      </c>
      <c r="AN24" s="1">
        <v>1.7450542524456978</v>
      </c>
      <c r="AO24" s="1">
        <v>1.9647082742943893</v>
      </c>
      <c r="AP24" s="1">
        <v>1.825621761273942</v>
      </c>
      <c r="AQ24" s="1">
        <v>1.635819266991166</v>
      </c>
      <c r="AS24" s="1">
        <v>0.89103173447801964</v>
      </c>
      <c r="AT24" s="1">
        <v>1.9171315701270941</v>
      </c>
      <c r="AU24" s="1">
        <v>2.3188516519818223</v>
      </c>
      <c r="AV24" s="1">
        <v>0.63093249637749982</v>
      </c>
      <c r="AW24" s="1">
        <v>1.4267275375634199</v>
      </c>
      <c r="AX24" s="1">
        <v>-0.21354546435177335</v>
      </c>
      <c r="AY24" s="1">
        <v>2.3373426680918783</v>
      </c>
      <c r="AZ24" s="1">
        <v>2.1180245246563572</v>
      </c>
      <c r="BA24" s="1">
        <v>1.8048489022854484</v>
      </c>
      <c r="BB24" s="1">
        <v>2.491615468895179</v>
      </c>
      <c r="BD24" s="1">
        <v>1.3195782483089715</v>
      </c>
      <c r="BE24" s="1">
        <v>2.7247205737978222</v>
      </c>
      <c r="BF24" s="1">
        <v>0.69213283899589462</v>
      </c>
      <c r="BG24" s="1">
        <v>0.83840415400918578</v>
      </c>
      <c r="BH24" s="1">
        <v>1.1051686371676623</v>
      </c>
      <c r="BI24" s="1">
        <v>0.67898170426487914</v>
      </c>
      <c r="BJ24" s="1">
        <v>1.33967518346617</v>
      </c>
      <c r="BK24" s="1">
        <v>1.5822762113879434</v>
      </c>
      <c r="BL24" s="1">
        <v>1.1580787981452887</v>
      </c>
      <c r="BM24" s="1">
        <v>2.7105804110731695</v>
      </c>
      <c r="BO24" s="1">
        <v>1.4282924237486441</v>
      </c>
      <c r="BP24" s="1">
        <v>2.1676050467533061</v>
      </c>
      <c r="BQ24" s="1">
        <v>2.0060084393131548</v>
      </c>
      <c r="BR24" s="1">
        <v>1.6638888301793486</v>
      </c>
      <c r="BS24" s="1">
        <v>1.4602326402557082</v>
      </c>
      <c r="BT24" s="1">
        <v>2.5491356417536735</v>
      </c>
      <c r="BU24" s="1">
        <v>2.3575443644076586</v>
      </c>
      <c r="BV24" s="1">
        <v>1.9512873157276771</v>
      </c>
      <c r="BW24" s="1">
        <v>1.7424507445335622</v>
      </c>
      <c r="BX24" s="1">
        <v>0.77147745286929426</v>
      </c>
      <c r="BZ24" s="1">
        <v>0.93643086781958118</v>
      </c>
      <c r="CA24" s="1">
        <v>0.28309291640762235</v>
      </c>
      <c r="CB24" s="1">
        <v>2.2158454652904767</v>
      </c>
      <c r="CC24" s="1">
        <v>0.78944150673924018</v>
      </c>
      <c r="CD24" s="1">
        <v>1.266752649116097</v>
      </c>
      <c r="CE24" s="1">
        <v>1.2558032530127092</v>
      </c>
      <c r="CF24" s="1">
        <v>1.0663129084277898</v>
      </c>
      <c r="CG24" s="1">
        <v>1.8835481503396294</v>
      </c>
      <c r="CH24" s="1">
        <v>1.4887591345919646</v>
      </c>
      <c r="CI24" s="1">
        <v>2.6891304332792059</v>
      </c>
    </row>
    <row r="25" spans="1:87" x14ac:dyDescent="0.3">
      <c r="A25" s="1">
        <v>1.6851416856079595</v>
      </c>
      <c r="B25" s="1">
        <v>0.34403088041581209</v>
      </c>
      <c r="C25" s="1">
        <v>1.832681486522779</v>
      </c>
      <c r="D25" s="1">
        <v>0.34861397226341073</v>
      </c>
      <c r="E25" s="1">
        <v>1.4596644334407756</v>
      </c>
      <c r="F25" s="1">
        <v>2.5148295016027986</v>
      </c>
      <c r="G25" s="1">
        <v>1.688221747521311</v>
      </c>
      <c r="H25" s="1">
        <v>1.9073596311267464</v>
      </c>
      <c r="I25" s="1">
        <v>0.33698470764793464</v>
      </c>
      <c r="J25" s="1">
        <v>1.7839227484699223</v>
      </c>
      <c r="L25" s="1">
        <v>0.96223095877212472</v>
      </c>
      <c r="M25" s="1">
        <v>1.7559572855418082</v>
      </c>
      <c r="N25" s="1">
        <v>2.8494119800976478</v>
      </c>
      <c r="O25" s="1">
        <v>1.98328745328472</v>
      </c>
      <c r="P25" s="1">
        <v>1.0251803971361368</v>
      </c>
      <c r="Q25" s="1">
        <v>-0.2406556824222208</v>
      </c>
      <c r="R25" s="1">
        <v>1.1412780092214234</v>
      </c>
      <c r="S25" s="1">
        <v>2.2441373337409458</v>
      </c>
      <c r="T25" s="1">
        <v>2.6108169590239414</v>
      </c>
      <c r="U25" s="1">
        <v>1.9014566350932001</v>
      </c>
      <c r="W25" s="1">
        <v>0.73709293499268824</v>
      </c>
      <c r="X25" s="1">
        <v>1.3968724063772242</v>
      </c>
      <c r="Y25" s="1">
        <v>2.2864161150588189</v>
      </c>
      <c r="Z25" s="1">
        <v>0.92581568979658191</v>
      </c>
      <c r="AA25" s="1">
        <v>2.0178281531290851</v>
      </c>
      <c r="AB25" s="1">
        <v>1.5750386218191124</v>
      </c>
      <c r="AC25" s="1">
        <v>1.8539889803505503</v>
      </c>
      <c r="AD25" s="1">
        <v>1.4273683452978729</v>
      </c>
      <c r="AE25" s="1">
        <v>1.398723138155765</v>
      </c>
      <c r="AF25" s="1">
        <v>2.7037148629431611</v>
      </c>
      <c r="AH25" s="1">
        <v>1.1278908712265547</v>
      </c>
      <c r="AI25" s="1">
        <v>0.73024234855547543</v>
      </c>
      <c r="AJ25" s="1">
        <v>2.4606598385085818</v>
      </c>
      <c r="AK25" s="1">
        <v>2.0305538929358589</v>
      </c>
      <c r="AL25" s="1">
        <v>2.9691225492744708</v>
      </c>
      <c r="AM25" s="1">
        <v>1.2123403202043845</v>
      </c>
      <c r="AN25" s="1">
        <v>1.221349922765512</v>
      </c>
      <c r="AO25" s="1">
        <v>2.5044738256605341</v>
      </c>
      <c r="AP25" s="1">
        <v>1.816133457797696</v>
      </c>
      <c r="AQ25" s="1">
        <v>1.5028742200200214</v>
      </c>
      <c r="AS25" s="1">
        <v>1.0578279468754772</v>
      </c>
      <c r="AT25" s="1">
        <v>0.59949611871270458</v>
      </c>
      <c r="AU25" s="1">
        <v>1.0124359545821791</v>
      </c>
      <c r="AV25" s="1">
        <v>0.74983414934540638</v>
      </c>
      <c r="AW25" s="1">
        <v>2.468272911955137</v>
      </c>
      <c r="AX25" s="1">
        <v>0.86533444017404682</v>
      </c>
      <c r="AY25" s="1">
        <v>1.7080450940411538</v>
      </c>
      <c r="AZ25" s="1">
        <v>2.5345144356600939</v>
      </c>
      <c r="BA25" s="1">
        <v>0.95933715278224563</v>
      </c>
      <c r="BB25" s="1">
        <v>-0.31562837648671116</v>
      </c>
      <c r="BD25" s="1">
        <v>3.5671862657181919E-2</v>
      </c>
      <c r="BE25" s="1">
        <v>1.2722127424523932</v>
      </c>
      <c r="BF25" s="1">
        <v>2.3613668913108996</v>
      </c>
      <c r="BG25" s="1">
        <v>1.162998265598435</v>
      </c>
      <c r="BH25" s="1">
        <v>2.1546593572740673</v>
      </c>
      <c r="BI25" s="1">
        <v>1.8139901648159138</v>
      </c>
      <c r="BJ25" s="1">
        <v>1.5305217326967977</v>
      </c>
      <c r="BK25" s="1">
        <v>2.3466946847969665</v>
      </c>
      <c r="BL25" s="1">
        <v>0.97601614874438392</v>
      </c>
      <c r="BM25" s="1">
        <v>1.7199268359006965</v>
      </c>
      <c r="BO25" s="1">
        <v>1.1142228711614734</v>
      </c>
      <c r="BP25" s="1">
        <v>0.76858164296136233</v>
      </c>
      <c r="BQ25" s="1">
        <v>1.7468026766815457</v>
      </c>
      <c r="BR25" s="1">
        <v>0.49895117272972134</v>
      </c>
      <c r="BS25" s="1">
        <v>1.2131136074633104</v>
      </c>
      <c r="BT25" s="1">
        <v>0.7875308064161799</v>
      </c>
      <c r="BU25" s="1">
        <v>1.6066819095285609</v>
      </c>
      <c r="BV25" s="1">
        <v>2.2030040716112125</v>
      </c>
      <c r="BW25" s="1">
        <v>1.03509010336129</v>
      </c>
      <c r="BX25" s="1">
        <v>1.4717183421424125</v>
      </c>
      <c r="BZ25" s="1">
        <v>1.0227470309255295</v>
      </c>
      <c r="CA25" s="1">
        <v>1.3574553607497364</v>
      </c>
      <c r="CB25" s="1">
        <v>1.3707675447600196</v>
      </c>
      <c r="CC25" s="1">
        <v>0.53045606919913557</v>
      </c>
      <c r="CD25" s="1">
        <v>1.2379093888914212</v>
      </c>
      <c r="CE25" s="1">
        <v>0.61878406894393256</v>
      </c>
      <c r="CF25" s="1">
        <v>1.6792786861187778</v>
      </c>
      <c r="CG25" s="1">
        <v>2.4287329258862882</v>
      </c>
      <c r="CH25" s="1">
        <v>1.6910171138457373</v>
      </c>
      <c r="CI25" s="1">
        <v>1.2888676155824215</v>
      </c>
    </row>
    <row r="26" spans="1:87" x14ac:dyDescent="0.3">
      <c r="A26" s="1">
        <v>-0.44529622048139572</v>
      </c>
      <c r="B26" s="1">
        <v>1.5442119123064912</v>
      </c>
      <c r="C26" s="1">
        <v>2.4526221790816636</v>
      </c>
      <c r="D26" s="1">
        <v>0.39506186668295418</v>
      </c>
      <c r="E26" s="1">
        <v>2.4204878329503119</v>
      </c>
      <c r="F26" s="1">
        <v>0.54192994765471658</v>
      </c>
      <c r="G26" s="1">
        <v>1.3047069311724044</v>
      </c>
      <c r="H26" s="1">
        <v>1.6692975739482789</v>
      </c>
      <c r="I26" s="1">
        <v>0.96357312435575304</v>
      </c>
      <c r="J26" s="1">
        <v>1.7171611761994428</v>
      </c>
      <c r="L26" s="1">
        <v>1.5597257768386044</v>
      </c>
      <c r="M26" s="1">
        <v>1.5164905137964524</v>
      </c>
      <c r="N26" s="1">
        <v>1.5108416659510113</v>
      </c>
      <c r="O26" s="1">
        <v>1.5389583642070648</v>
      </c>
      <c r="P26" s="1">
        <v>1.5311152467067586</v>
      </c>
      <c r="Q26" s="1">
        <v>3.3675353541970252</v>
      </c>
      <c r="R26" s="1">
        <v>0.946436959260609</v>
      </c>
      <c r="S26" s="1">
        <v>2.1854376361938193</v>
      </c>
      <c r="T26" s="1">
        <v>1.333043978267233</v>
      </c>
      <c r="U26" s="1">
        <v>0.17674295122269545</v>
      </c>
      <c r="W26" s="1">
        <v>1.5834726835018955</v>
      </c>
      <c r="X26" s="1">
        <v>1.7539859557757154</v>
      </c>
      <c r="Y26" s="1">
        <v>1.5636506800015924</v>
      </c>
      <c r="Z26" s="1">
        <v>1.3026966517907568</v>
      </c>
      <c r="AA26" s="1">
        <v>2.0937784640584143</v>
      </c>
      <c r="AB26" s="1">
        <v>1.261584001337178</v>
      </c>
      <c r="AC26" s="1">
        <v>0.80879857856780291</v>
      </c>
      <c r="AD26" s="1">
        <v>1.9126856321003287</v>
      </c>
      <c r="AE26" s="1">
        <v>1.8471369953127579</v>
      </c>
      <c r="AF26" s="1">
        <v>2.090009552372794</v>
      </c>
      <c r="AH26" s="1">
        <v>0.9644171566615114</v>
      </c>
      <c r="AI26" s="1">
        <v>1.478237166639883</v>
      </c>
      <c r="AJ26" s="1">
        <v>1.27377925713663</v>
      </c>
      <c r="AK26" s="1">
        <v>1.4943277538885014</v>
      </c>
      <c r="AL26" s="1">
        <v>0.72353101788321517</v>
      </c>
      <c r="AM26" s="1">
        <v>0.62907045402098438</v>
      </c>
      <c r="AN26" s="1">
        <v>0.46896770223975182</v>
      </c>
      <c r="AO26" s="1">
        <v>2.0222392711497377</v>
      </c>
      <c r="AP26" s="1">
        <v>1.0472341313667131</v>
      </c>
      <c r="AQ26" s="1">
        <v>1.8092597929324257</v>
      </c>
      <c r="AS26" s="1">
        <v>0.42852468848286662</v>
      </c>
      <c r="AT26" s="1">
        <v>1.3043706561176804</v>
      </c>
      <c r="AU26" s="1">
        <v>1.3154811808286468</v>
      </c>
      <c r="AV26" s="1">
        <v>2.0123560408217598</v>
      </c>
      <c r="AW26" s="1">
        <v>2.5430311027041173</v>
      </c>
      <c r="AX26" s="1">
        <v>2.1761063898215069</v>
      </c>
      <c r="AY26" s="1">
        <v>1.9595403879648075</v>
      </c>
      <c r="AZ26" s="1">
        <v>2.233406205754727</v>
      </c>
      <c r="BA26" s="1">
        <v>1.5552073859376834</v>
      </c>
      <c r="BB26" s="1">
        <v>2.9018887562386224</v>
      </c>
      <c r="BD26" s="1">
        <v>1.7666812962270342</v>
      </c>
      <c r="BE26" s="1">
        <v>1.450118091571494</v>
      </c>
      <c r="BF26" s="1">
        <v>0.78725097813876355</v>
      </c>
      <c r="BG26" s="1">
        <v>1.8247432000032859</v>
      </c>
      <c r="BH26" s="1">
        <v>2.4987284789123807</v>
      </c>
      <c r="BI26" s="1">
        <v>1.650063749263063</v>
      </c>
      <c r="BJ26" s="1">
        <v>1.6641119524720125</v>
      </c>
      <c r="BK26" s="1">
        <v>1.9382001417165156</v>
      </c>
      <c r="BL26" s="1">
        <v>1.4419423263840145</v>
      </c>
      <c r="BM26" s="1">
        <v>1.2543475168029545</v>
      </c>
      <c r="BO26" s="1">
        <v>1.2806876864269725</v>
      </c>
      <c r="BP26" s="1">
        <v>0.60289444566587913</v>
      </c>
      <c r="BQ26" s="1">
        <v>1.2310077676753282</v>
      </c>
      <c r="BR26" s="1">
        <v>1.4552456296849414</v>
      </c>
      <c r="BS26" s="1">
        <v>2.356638576401747</v>
      </c>
      <c r="BT26" s="1">
        <v>0.57918103164993218</v>
      </c>
      <c r="BU26" s="1">
        <v>1.618493517220486</v>
      </c>
      <c r="BV26" s="1">
        <v>2.0851167326094582</v>
      </c>
      <c r="BW26" s="1">
        <v>1.9365607881278266</v>
      </c>
      <c r="BX26" s="1">
        <v>1.1096798789338209</v>
      </c>
      <c r="BZ26" s="1">
        <v>1.2048489022854483</v>
      </c>
      <c r="CA26" s="1">
        <v>1.4051745013886829</v>
      </c>
      <c r="CB26" s="1">
        <v>1.6940732434173698</v>
      </c>
      <c r="CC26" s="1">
        <v>1.6436468887230149</v>
      </c>
      <c r="CD26" s="1">
        <v>1.4845660573148052</v>
      </c>
      <c r="CE26" s="1">
        <v>1.5979924491024575</v>
      </c>
      <c r="CF26" s="1">
        <v>1.8932791514671408</v>
      </c>
      <c r="CG26" s="1">
        <v>1.4504967955639585</v>
      </c>
      <c r="CH26" s="1">
        <v>1.430237129572197</v>
      </c>
      <c r="CI26" s="1">
        <v>1.6617262235711678</v>
      </c>
    </row>
    <row r="27" spans="1:87" x14ac:dyDescent="0.3">
      <c r="A27" s="1">
        <v>0.64295625431986991</v>
      </c>
      <c r="B27" s="1">
        <v>0.71480731397168706</v>
      </c>
      <c r="C27" s="1">
        <v>2.3010303306742572</v>
      </c>
      <c r="D27" s="1">
        <v>1.4829511120376992</v>
      </c>
      <c r="E27" s="1">
        <v>0.72958870734437375</v>
      </c>
      <c r="F27" s="1">
        <v>0.8528743627597577</v>
      </c>
      <c r="G27" s="1">
        <v>1.3133152985246852</v>
      </c>
      <c r="H27" s="1">
        <v>2.3814801286556757</v>
      </c>
      <c r="I27" s="1">
        <v>0.96708263703621933</v>
      </c>
      <c r="J27" s="1">
        <v>0.14865047887433325</v>
      </c>
      <c r="L27" s="1">
        <v>0.12648036115569994</v>
      </c>
      <c r="M27" s="1">
        <v>2.0301058187498713</v>
      </c>
      <c r="N27" s="1">
        <v>2.6263693184242585</v>
      </c>
      <c r="O27" s="1">
        <v>0.86303213366481946</v>
      </c>
      <c r="P27" s="1">
        <v>1.7297019369099871</v>
      </c>
      <c r="Q27" s="1">
        <v>1.3835054040886461</v>
      </c>
      <c r="R27" s="1">
        <v>1.3155299181235023</v>
      </c>
      <c r="S27" s="1">
        <v>2.2158397703373338</v>
      </c>
      <c r="T27" s="1">
        <v>1.7362479906674708</v>
      </c>
      <c r="U27" s="1">
        <v>-5.7737515820190266E-2</v>
      </c>
      <c r="W27" s="1">
        <v>1.1146941031038295</v>
      </c>
      <c r="X27" s="1">
        <v>1.3849462023528758</v>
      </c>
      <c r="Y27" s="1">
        <v>1.4660917981396779</v>
      </c>
      <c r="Z27" s="1">
        <v>1.2115868831722765</v>
      </c>
      <c r="AA27" s="1">
        <v>0.8515239798900438</v>
      </c>
      <c r="AB27" s="1">
        <v>1.6429396772640756</v>
      </c>
      <c r="AC27" s="1">
        <v>1.652858774526976</v>
      </c>
      <c r="AD27" s="1">
        <v>1.7942057573003694</v>
      </c>
      <c r="AE27" s="1">
        <v>1.1486734860605794</v>
      </c>
      <c r="AF27" s="1">
        <v>2.5311348326766163</v>
      </c>
      <c r="AH27" s="1">
        <v>1.4491460003919201</v>
      </c>
      <c r="AI27" s="1">
        <v>0.96284152580774385</v>
      </c>
      <c r="AJ27" s="1">
        <v>1.5372903403127567</v>
      </c>
      <c r="AK27" s="1">
        <v>1.1901307662890759</v>
      </c>
      <c r="AL27" s="1">
        <v>1.8630467068025609</v>
      </c>
      <c r="AM27" s="1">
        <v>2.1003154678386635</v>
      </c>
      <c r="AN27" s="1">
        <v>1.0882926668855362</v>
      </c>
      <c r="AO27" s="1">
        <v>1.9146756065078079</v>
      </c>
      <c r="AP27" s="1">
        <v>1.3912345861550421</v>
      </c>
      <c r="AQ27" s="1">
        <v>2.5452056252077453</v>
      </c>
      <c r="AS27" s="1">
        <v>0.90450703535316279</v>
      </c>
      <c r="AT27" s="1">
        <v>1.4525232503103325</v>
      </c>
      <c r="AU27" s="1">
        <v>0.67804067333927398</v>
      </c>
      <c r="AV27" s="1">
        <v>1.7536877895588987</v>
      </c>
      <c r="AW27" s="1">
        <v>3.0200287867221052</v>
      </c>
      <c r="AX27" s="1">
        <v>-0.29204577105119833</v>
      </c>
      <c r="AY27" s="1">
        <v>1.1821079548681155</v>
      </c>
      <c r="AZ27" s="1">
        <v>2.2167597242281771</v>
      </c>
      <c r="BA27" s="1">
        <v>1.4821226654399653</v>
      </c>
      <c r="BB27" s="1">
        <v>2.3556980795518028</v>
      </c>
      <c r="BD27" s="1">
        <v>1.2216904704255285</v>
      </c>
      <c r="BE27" s="1">
        <v>1.5375243977643549</v>
      </c>
      <c r="BF27" s="1">
        <v>1.5405698645205121</v>
      </c>
      <c r="BG27" s="1">
        <v>1.5366454054936185</v>
      </c>
      <c r="BH27" s="1">
        <v>0.44688592171878549</v>
      </c>
      <c r="BI27" s="1">
        <v>0.23554482948966315</v>
      </c>
      <c r="BJ27" s="1">
        <v>1.790353455056902</v>
      </c>
      <c r="BK27" s="1">
        <v>1.4832713466370477</v>
      </c>
      <c r="BL27" s="1">
        <v>1.6731824911781588</v>
      </c>
      <c r="BM27" s="1">
        <v>2.7113846317632122</v>
      </c>
      <c r="BO27" s="1">
        <v>0.71698116496554576</v>
      </c>
      <c r="BP27" s="1">
        <v>1.3961943780770525</v>
      </c>
      <c r="BQ27" s="1">
        <v>1.6570657903153916</v>
      </c>
      <c r="BR27" s="1">
        <v>2.0277844815689603</v>
      </c>
      <c r="BS27" s="1">
        <v>2.2510396476893222</v>
      </c>
      <c r="BT27" s="1">
        <v>1.0454307620297185</v>
      </c>
      <c r="BU27" s="1">
        <v>0.83590333967003971</v>
      </c>
      <c r="BV27" s="1">
        <v>2.3152570909354835</v>
      </c>
      <c r="BW27" s="1">
        <v>1.8096840034937487</v>
      </c>
      <c r="BX27" s="1">
        <v>3.3122705008252522</v>
      </c>
      <c r="BZ27" s="1">
        <v>0.48027266327699181</v>
      </c>
      <c r="CA27" s="1">
        <v>2.5861463230568917</v>
      </c>
      <c r="CB27" s="1">
        <v>1.3961028839199572</v>
      </c>
      <c r="CC27" s="1">
        <v>2.1621373126516117</v>
      </c>
      <c r="CD27" s="1">
        <v>1.7877553247846663</v>
      </c>
      <c r="CE27" s="1">
        <v>1.2205712472554295</v>
      </c>
      <c r="CF27" s="1">
        <v>1.4181136445258744</v>
      </c>
      <c r="CG27" s="1">
        <v>2.447566742170602</v>
      </c>
      <c r="CH27" s="1">
        <v>1.313111265009502</v>
      </c>
      <c r="CI27" s="1">
        <v>0.93838291831780229</v>
      </c>
    </row>
    <row r="28" spans="1:87" x14ac:dyDescent="0.3">
      <c r="A28" s="1">
        <v>0.88997387845302001</v>
      </c>
      <c r="B28" s="1">
        <v>1.175919763528509</v>
      </c>
      <c r="C28" s="1">
        <v>2.0151665962126573</v>
      </c>
      <c r="D28" s="1">
        <v>1.0299948972795392</v>
      </c>
      <c r="E28" s="1">
        <v>2.2330432486516658</v>
      </c>
      <c r="F28" s="1">
        <v>2.7745739124715327</v>
      </c>
      <c r="G28" s="1">
        <v>0.95577292237430811</v>
      </c>
      <c r="H28" s="1">
        <v>1.9159311639436054</v>
      </c>
      <c r="I28" s="1">
        <v>2.5987161320168526</v>
      </c>
      <c r="J28" s="1">
        <v>0.98844105195603338</v>
      </c>
      <c r="L28" s="1">
        <v>1.4211051418678835</v>
      </c>
      <c r="M28" s="1">
        <v>0.64874934953986663</v>
      </c>
      <c r="N28" s="1">
        <v>1.3635233057735605</v>
      </c>
      <c r="O28" s="1">
        <v>0.93321442919550468</v>
      </c>
      <c r="P28" s="1">
        <v>1.060947185778059</v>
      </c>
      <c r="Q28" s="1">
        <v>1.954884536541067</v>
      </c>
      <c r="R28" s="1">
        <v>0.79490513750351965</v>
      </c>
      <c r="S28" s="1">
        <v>1.3724375937948934</v>
      </c>
      <c r="T28" s="1">
        <v>1.3291536146803993</v>
      </c>
      <c r="U28" s="1">
        <v>2.3623784318231627</v>
      </c>
      <c r="W28" s="1">
        <v>0.54399754642508924</v>
      </c>
      <c r="X28" s="1">
        <v>1.2142072167363949</v>
      </c>
      <c r="Y28" s="1">
        <v>1.0285041111652391</v>
      </c>
      <c r="Z28" s="1">
        <v>1.7643561624106952</v>
      </c>
      <c r="AA28" s="1">
        <v>0.97090948403929356</v>
      </c>
      <c r="AB28" s="1">
        <v>-0.37515903487801561</v>
      </c>
      <c r="AC28" s="1">
        <v>1.3256475919333752</v>
      </c>
      <c r="AD28" s="1">
        <v>1.697782948007807</v>
      </c>
      <c r="AE28" s="1">
        <v>1.0207382769673132</v>
      </c>
      <c r="AF28" s="1">
        <v>1.526188434578944</v>
      </c>
      <c r="AH28" s="1">
        <v>1.151196672959486</v>
      </c>
      <c r="AI28" s="1">
        <v>0.60499947115313257</v>
      </c>
      <c r="AJ28" s="1">
        <v>1.7787145720300033</v>
      </c>
      <c r="AK28" s="1">
        <v>1.6842308160528774</v>
      </c>
      <c r="AL28" s="1">
        <v>1.1978563790937187</v>
      </c>
      <c r="AM28" s="1">
        <v>1.7373661456862464</v>
      </c>
      <c r="AN28" s="1">
        <v>1.4539536474912893</v>
      </c>
      <c r="AO28" s="1">
        <v>1.7154617060208692</v>
      </c>
      <c r="AP28" s="1">
        <v>0.98328301141154961</v>
      </c>
      <c r="AQ28" s="1">
        <v>3.9006489987485109</v>
      </c>
      <c r="AS28" s="1">
        <v>2.0930398275377229</v>
      </c>
      <c r="AT28" s="1">
        <v>1.628156454290729</v>
      </c>
      <c r="AU28" s="1">
        <v>1.370541535326629</v>
      </c>
      <c r="AV28" s="1">
        <v>1.0420866293396103</v>
      </c>
      <c r="AW28" s="1">
        <v>2.2289734872349074</v>
      </c>
      <c r="AX28" s="1">
        <v>0.1456176313571631</v>
      </c>
      <c r="AY28" s="1">
        <v>1.1777250999002717</v>
      </c>
      <c r="AZ28" s="1">
        <v>1.3733852872741408</v>
      </c>
      <c r="BA28" s="1">
        <v>0.78927869657636629</v>
      </c>
      <c r="BB28" s="1">
        <v>1.3227308318135329</v>
      </c>
      <c r="BD28" s="1">
        <v>0.56078568175144028</v>
      </c>
      <c r="BE28" s="1">
        <v>0.96199774209817401</v>
      </c>
      <c r="BF28" s="1">
        <v>1.8569902335380903</v>
      </c>
      <c r="BG28" s="1">
        <v>1.0508729165929254</v>
      </c>
      <c r="BH28" s="1">
        <v>2.6737823347677474</v>
      </c>
      <c r="BI28" s="1">
        <v>1.4089657987700774</v>
      </c>
      <c r="BJ28" s="1">
        <v>1.7050383045570925</v>
      </c>
      <c r="BK28" s="1">
        <v>1.8742635736765805</v>
      </c>
      <c r="BL28" s="1">
        <v>0.83133145784959206</v>
      </c>
      <c r="BM28" s="1">
        <v>0.696508941470529</v>
      </c>
      <c r="BO28" s="1">
        <v>0.6970893789693946</v>
      </c>
      <c r="BP28" s="1">
        <v>1.6391822585603222</v>
      </c>
      <c r="BQ28" s="1">
        <v>1.1482469330454479</v>
      </c>
      <c r="BR28" s="1">
        <v>1.7331707259552787</v>
      </c>
      <c r="BS28" s="1">
        <v>1.1687441358109936</v>
      </c>
      <c r="BT28" s="1">
        <v>1.9917536327615379</v>
      </c>
      <c r="BU28" s="1">
        <v>0.98291588225401938</v>
      </c>
      <c r="BV28" s="1">
        <v>1.68009145706892</v>
      </c>
      <c r="BW28" s="1">
        <v>1.4590226368833101</v>
      </c>
      <c r="BX28" s="1">
        <v>1.8666029791318579</v>
      </c>
      <c r="BZ28" s="1">
        <v>1.1426900553269661</v>
      </c>
      <c r="CA28" s="1">
        <v>1.1565188772976398</v>
      </c>
      <c r="CB28" s="1">
        <v>0.55588734943885365</v>
      </c>
      <c r="CC28" s="1">
        <v>1.3137140432343586</v>
      </c>
      <c r="CD28" s="1">
        <v>1.8312915856033214</v>
      </c>
      <c r="CE28" s="1">
        <v>0.63237373877782366</v>
      </c>
      <c r="CF28" s="1">
        <v>1.452012331050355</v>
      </c>
      <c r="CG28" s="1">
        <v>1.7277316990424878</v>
      </c>
      <c r="CH28" s="1">
        <v>1.1891141679749127</v>
      </c>
      <c r="CI28" s="1">
        <v>-9.273032447090368E-2</v>
      </c>
    </row>
    <row r="29" spans="1:87" x14ac:dyDescent="0.3">
      <c r="A29" s="1">
        <v>1.1483164169258089</v>
      </c>
      <c r="B29" s="1">
        <v>2.1082959877559917</v>
      </c>
      <c r="C29" s="1">
        <v>1.7364722947982956</v>
      </c>
      <c r="D29" s="1">
        <v>1.0997184664200177</v>
      </c>
      <c r="E29" s="1">
        <v>2.0036452653759627</v>
      </c>
      <c r="F29" s="1">
        <v>0.69725709080230436</v>
      </c>
      <c r="G29" s="1">
        <v>1.4258479874697514</v>
      </c>
      <c r="H29" s="1">
        <v>1.4489979482954367</v>
      </c>
      <c r="I29" s="1">
        <v>2.7448901204857976</v>
      </c>
      <c r="J29" s="1">
        <v>2.3779461389465721</v>
      </c>
      <c r="L29" s="1">
        <v>0.22094048088183627</v>
      </c>
      <c r="M29" s="1">
        <v>1.1842320903553627</v>
      </c>
      <c r="N29" s="1">
        <v>1.2711499079538044</v>
      </c>
      <c r="O29" s="1">
        <v>0.56304781183716845</v>
      </c>
      <c r="P29" s="1">
        <v>2.2909223546041177</v>
      </c>
      <c r="Q29" s="1">
        <v>2.2799288480076938</v>
      </c>
      <c r="R29" s="1">
        <v>1.8267823558417149</v>
      </c>
      <c r="S29" s="1">
        <v>1.4467960616224445</v>
      </c>
      <c r="T29" s="1">
        <v>1.2932660906168167</v>
      </c>
      <c r="U29" s="1">
        <v>2.8215424026682738</v>
      </c>
      <c r="W29" s="1">
        <v>1.0094291863206308</v>
      </c>
      <c r="X29" s="1">
        <v>1.1099068190844263</v>
      </c>
      <c r="Y29" s="1">
        <v>0.66291236584365854</v>
      </c>
      <c r="Z29" s="1">
        <v>0.62250375422881921</v>
      </c>
      <c r="AA29" s="1">
        <v>1.7677646312396973</v>
      </c>
      <c r="AB29" s="1">
        <v>0.63894210951402775</v>
      </c>
      <c r="AC29" s="1">
        <v>1.8432523953961208</v>
      </c>
      <c r="AD29" s="1">
        <v>1.6649110810016281</v>
      </c>
      <c r="AE29" s="1">
        <v>1.3631402948172764</v>
      </c>
      <c r="AF29" s="1">
        <v>0.97207424005027865</v>
      </c>
      <c r="AH29" s="1">
        <v>0.75212801928137196</v>
      </c>
      <c r="AI29" s="1">
        <v>1.9672333595110103</v>
      </c>
      <c r="AJ29" s="1">
        <v>0.31503769099945211</v>
      </c>
      <c r="AK29" s="1">
        <v>1.0631834958156106</v>
      </c>
      <c r="AL29" s="1">
        <v>2.3569712240889205</v>
      </c>
      <c r="AM29" s="1">
        <v>1.142149157100357</v>
      </c>
      <c r="AN29" s="1">
        <v>1.4368105818575714</v>
      </c>
      <c r="AO29" s="1">
        <v>2.2688555807457305</v>
      </c>
      <c r="AP29" s="1">
        <v>1.731252591017983</v>
      </c>
      <c r="AQ29" s="1">
        <v>2.2033003051517879</v>
      </c>
      <c r="AS29" s="1">
        <v>0.42193426250014454</v>
      </c>
      <c r="AT29" s="1">
        <v>0.42595907264621924</v>
      </c>
      <c r="AU29" s="1">
        <v>1.497219822742045</v>
      </c>
      <c r="AV29" s="1">
        <v>0.83043811729003214</v>
      </c>
      <c r="AW29" s="1">
        <v>2.0796807277467453</v>
      </c>
      <c r="AX29" s="1">
        <v>3.3206636352464556</v>
      </c>
      <c r="AY29" s="1">
        <v>1.7449442035867833</v>
      </c>
      <c r="AZ29" s="1">
        <v>2.4524489097297191</v>
      </c>
      <c r="BA29" s="1">
        <v>1.6017018919606927</v>
      </c>
      <c r="BB29" s="1">
        <v>1.51607530824258</v>
      </c>
      <c r="BD29" s="1">
        <v>0.71098930018342799</v>
      </c>
      <c r="BE29" s="1">
        <v>1.582706048185355</v>
      </c>
      <c r="BF29" s="1">
        <v>3.2080412024166436</v>
      </c>
      <c r="BG29" s="1">
        <v>1.0151832076269784</v>
      </c>
      <c r="BH29" s="1">
        <v>1.8791570412024157</v>
      </c>
      <c r="BI29" s="1">
        <v>0.6582543200114741</v>
      </c>
      <c r="BJ29" s="1">
        <v>1.1658134477911517</v>
      </c>
      <c r="BK29" s="1">
        <v>2.3148378138779662</v>
      </c>
      <c r="BL29" s="1">
        <v>2.2706625299557346</v>
      </c>
      <c r="BM29" s="1">
        <v>3.0410475846991174</v>
      </c>
      <c r="BO29" s="1">
        <v>1.0645718500891235</v>
      </c>
      <c r="BP29" s="1">
        <v>1.531946694132057</v>
      </c>
      <c r="BQ29" s="1">
        <v>0.59929071034421222</v>
      </c>
      <c r="BR29" s="1">
        <v>1.2542092155024875</v>
      </c>
      <c r="BS29" s="1">
        <v>1.7364026391252991</v>
      </c>
      <c r="BT29" s="1">
        <v>2.2017832442419603</v>
      </c>
      <c r="BU29" s="1">
        <v>1.4728529473941308</v>
      </c>
      <c r="BV29" s="1">
        <v>2.132728780247271</v>
      </c>
      <c r="BW29" s="1">
        <v>1.9816660409938778</v>
      </c>
      <c r="BX29" s="1">
        <v>1.12992454887426</v>
      </c>
      <c r="BZ29" s="1">
        <v>0.86152829478669446</v>
      </c>
      <c r="CA29" s="1">
        <v>1.7473420969792641</v>
      </c>
      <c r="CB29" s="1">
        <v>3.0382158042280936</v>
      </c>
      <c r="CC29" s="1">
        <v>0.9696499238169054</v>
      </c>
      <c r="CD29" s="1">
        <v>2.3354860033752631</v>
      </c>
      <c r="CE29" s="1">
        <v>1.7474942786851897</v>
      </c>
      <c r="CF29" s="1">
        <v>1.9932426236337051</v>
      </c>
      <c r="CG29" s="1">
        <v>2.0300863914366345</v>
      </c>
      <c r="CH29" s="1">
        <v>1.1709902123053326</v>
      </c>
      <c r="CI29" s="1">
        <v>1.4659721546166111</v>
      </c>
    </row>
    <row r="30" spans="1:87" x14ac:dyDescent="0.3">
      <c r="A30" s="1">
        <v>0.55570046950015239</v>
      </c>
      <c r="B30" s="1">
        <v>1.455987743003061</v>
      </c>
      <c r="C30" s="1">
        <v>2.3138810360629578</v>
      </c>
      <c r="D30" s="1">
        <v>1.1624417685277877</v>
      </c>
      <c r="E30" s="1">
        <v>0.71553474046522758</v>
      </c>
      <c r="F30" s="1">
        <v>1.5612734195077791</v>
      </c>
      <c r="G30" s="1">
        <v>2.242842530598864</v>
      </c>
      <c r="H30" s="1">
        <v>2.224013853969518</v>
      </c>
      <c r="I30" s="1">
        <v>1.924897655445966</v>
      </c>
      <c r="J30" s="1">
        <v>2.5208416263893012</v>
      </c>
      <c r="L30" s="1">
        <v>0.26282043816172518</v>
      </c>
      <c r="M30" s="1">
        <v>1.7670513019140344</v>
      </c>
      <c r="N30" s="1">
        <v>1.0312647686456331</v>
      </c>
      <c r="O30" s="1">
        <v>1.7482876647671219</v>
      </c>
      <c r="P30" s="1">
        <v>1.9713084086281014</v>
      </c>
      <c r="Q30" s="1">
        <v>2.020375431026332</v>
      </c>
      <c r="R30" s="1">
        <v>1.563592324295314</v>
      </c>
      <c r="S30" s="1">
        <v>1.6530230757547542</v>
      </c>
      <c r="T30" s="1">
        <v>1.5757210389361718</v>
      </c>
      <c r="U30" s="1">
        <v>2.2887983777734915</v>
      </c>
      <c r="W30" s="1">
        <v>1.6397954166459385</v>
      </c>
      <c r="X30" s="1">
        <v>0.28938752923859279</v>
      </c>
      <c r="Y30" s="1">
        <v>2.5026784937304911</v>
      </c>
      <c r="Z30" s="1">
        <v>0.60069634501705882</v>
      </c>
      <c r="AA30" s="1">
        <v>2.2797555786557497</v>
      </c>
      <c r="AB30" s="1">
        <v>-0.64076059162616739</v>
      </c>
      <c r="AC30" s="1">
        <v>1.3980670170567464</v>
      </c>
      <c r="AD30" s="1">
        <v>0.98907193457707754</v>
      </c>
      <c r="AE30" s="1">
        <v>1.8755530204012758</v>
      </c>
      <c r="AF30" s="1">
        <v>0.99739389042661064</v>
      </c>
      <c r="AH30" s="1">
        <v>1.4044329671160085</v>
      </c>
      <c r="AI30" s="1">
        <v>0.8025512700725812</v>
      </c>
      <c r="AJ30" s="1">
        <v>1.7848629835876637</v>
      </c>
      <c r="AK30" s="1">
        <v>1.5576950919319643</v>
      </c>
      <c r="AL30" s="1">
        <v>1.6560881178695126</v>
      </c>
      <c r="AM30" s="1">
        <v>0.49799589659087351</v>
      </c>
      <c r="AN30" s="1">
        <v>2.1131467671366408</v>
      </c>
      <c r="AO30" s="1">
        <v>0.91810951996594659</v>
      </c>
      <c r="AP30" s="1">
        <v>1.1088353443861707</v>
      </c>
      <c r="AQ30" s="1">
        <v>1.7022841166151921</v>
      </c>
      <c r="AS30" s="1">
        <v>1.324803295370657</v>
      </c>
      <c r="AT30" s="1">
        <v>1.0867638169031124</v>
      </c>
      <c r="AU30" s="1">
        <v>2.5084894827537938</v>
      </c>
      <c r="AV30" s="1">
        <v>1.0883094238204649</v>
      </c>
      <c r="AW30" s="1">
        <v>1.6203348579612793</v>
      </c>
      <c r="AX30" s="1">
        <v>1.1979666659375652</v>
      </c>
      <c r="AY30" s="1">
        <v>1.958889189758338</v>
      </c>
      <c r="AZ30" s="1">
        <v>1.5341302903601899</v>
      </c>
      <c r="BA30" s="1">
        <v>1.8721310465858552</v>
      </c>
      <c r="BB30" s="1">
        <v>0.56727088121697311</v>
      </c>
      <c r="BD30" s="1">
        <v>0.61149001137528103</v>
      </c>
      <c r="BE30" s="1">
        <v>1.8952941475901752</v>
      </c>
      <c r="BF30" s="1">
        <v>0.23520224607782447</v>
      </c>
      <c r="BG30" s="1">
        <v>0.99975078784045768</v>
      </c>
      <c r="BH30" s="1">
        <v>2.5398335467063591</v>
      </c>
      <c r="BI30" s="1">
        <v>6.6680767200887114E-2</v>
      </c>
      <c r="BJ30" s="1">
        <v>1.8951190592488274</v>
      </c>
      <c r="BK30" s="1">
        <v>1.5337583070271648</v>
      </c>
      <c r="BL30" s="1">
        <v>2.2092568582971581</v>
      </c>
      <c r="BM30" s="1">
        <v>2.1947925506508907</v>
      </c>
      <c r="BO30" s="1">
        <v>1.8186543709598482</v>
      </c>
      <c r="BP30" s="1">
        <v>1.315713646664517</v>
      </c>
      <c r="BQ30" s="1">
        <v>1.388997115501843</v>
      </c>
      <c r="BR30" s="1">
        <v>1.2315309651137796</v>
      </c>
      <c r="BS30" s="1">
        <v>2.1377309323899678</v>
      </c>
      <c r="BT30" s="1">
        <v>0.13951310291886321</v>
      </c>
      <c r="BU30" s="1">
        <v>1.8966670192312449</v>
      </c>
      <c r="BV30" s="1">
        <v>1.4393336575943976</v>
      </c>
      <c r="BW30" s="1">
        <v>2.0529385932983133</v>
      </c>
      <c r="BX30" s="1">
        <v>2.1119250777672276</v>
      </c>
      <c r="BZ30" s="1">
        <v>0.76724097905389499</v>
      </c>
      <c r="CA30" s="1">
        <v>2.2637759260134773</v>
      </c>
      <c r="CB30" s="1">
        <v>1.2299000031285687</v>
      </c>
      <c r="CC30" s="1">
        <v>1.7528806130110752</v>
      </c>
      <c r="CD30" s="1">
        <v>1.7428924522566376</v>
      </c>
      <c r="CE30" s="1">
        <v>1.7806189852184615</v>
      </c>
      <c r="CF30" s="1">
        <v>0.38791353441774845</v>
      </c>
      <c r="CG30" s="1">
        <v>1.8533993104705586</v>
      </c>
      <c r="CH30" s="1">
        <v>1.4317764493549476</v>
      </c>
      <c r="CI30" s="1">
        <v>2.2645592071028657</v>
      </c>
    </row>
    <row r="31" spans="1:87" x14ac:dyDescent="0.3">
      <c r="A31" s="3">
        <f t="shared" ref="A31:J31" si="0">AVERAGE(A1:A30)</f>
        <v>0.84657923353855347</v>
      </c>
      <c r="B31" s="3">
        <f t="shared" si="0"/>
        <v>1.264906339503068</v>
      </c>
      <c r="C31" s="3">
        <f t="shared" si="0"/>
        <v>1.8798018272187629</v>
      </c>
      <c r="D31" s="3">
        <f t="shared" si="0"/>
        <v>1.3173990126010415</v>
      </c>
      <c r="E31" s="3">
        <f t="shared" si="0"/>
        <v>1.7612725102655538</v>
      </c>
      <c r="F31" s="3">
        <f t="shared" si="0"/>
        <v>1.1783369205232395</v>
      </c>
      <c r="G31" s="3">
        <f t="shared" si="0"/>
        <v>1.576252869500119</v>
      </c>
      <c r="H31" s="3">
        <f t="shared" si="0"/>
        <v>1.8824504660258137</v>
      </c>
      <c r="I31" s="3">
        <f t="shared" si="0"/>
        <v>1.6544210176182494</v>
      </c>
      <c r="J31" s="3">
        <f t="shared" si="0"/>
        <v>1.8102704234450344</v>
      </c>
      <c r="L31" s="3">
        <f t="shared" ref="L31:U31" si="1">AVERAGE(L1:L30)</f>
        <v>0.90880722104217659</v>
      </c>
      <c r="M31" s="3">
        <f t="shared" si="1"/>
        <v>1.3262620344277822</v>
      </c>
      <c r="N31" s="3">
        <f t="shared" si="1"/>
        <v>1.5874810403828943</v>
      </c>
      <c r="O31" s="3">
        <f t="shared" si="1"/>
        <v>1.3952172361697495</v>
      </c>
      <c r="P31" s="3">
        <f t="shared" si="1"/>
        <v>1.6135431683801782</v>
      </c>
      <c r="Q31" s="3">
        <f t="shared" si="1"/>
        <v>1.4231594640354153</v>
      </c>
      <c r="R31" s="3">
        <f t="shared" si="1"/>
        <v>1.5098303644335829</v>
      </c>
      <c r="S31" s="3">
        <f t="shared" si="1"/>
        <v>1.825002384770777</v>
      </c>
      <c r="T31" s="3">
        <f t="shared" si="1"/>
        <v>1.5347186682522691</v>
      </c>
      <c r="U31" s="3">
        <f t="shared" si="1"/>
        <v>1.6222416479620727</v>
      </c>
      <c r="W31" s="3">
        <f t="shared" ref="W31:AF31" si="2">AVERAGE(W1:W30)</f>
        <v>1.1054554938188328</v>
      </c>
      <c r="X31" s="3">
        <f t="shared" si="2"/>
        <v>1.1017494019426519</v>
      </c>
      <c r="Y31" s="3">
        <f t="shared" si="2"/>
        <v>1.6614255175908821</v>
      </c>
      <c r="Z31" s="3">
        <f t="shared" si="2"/>
        <v>1.3371882720173742</v>
      </c>
      <c r="AA31" s="3">
        <f t="shared" si="2"/>
        <v>1.396999922586353</v>
      </c>
      <c r="AB31" s="3">
        <f t="shared" si="2"/>
        <v>1.2773803478494901</v>
      </c>
      <c r="AC31" s="3">
        <f t="shared" si="2"/>
        <v>1.5676210068680423</v>
      </c>
      <c r="AD31" s="3">
        <f t="shared" si="2"/>
        <v>1.8784870245396925</v>
      </c>
      <c r="AE31" s="3">
        <f t="shared" si="2"/>
        <v>1.6219052367356208</v>
      </c>
      <c r="AF31" s="3">
        <f t="shared" si="2"/>
        <v>1.8810830783848351</v>
      </c>
      <c r="AH31" s="3">
        <f t="shared" ref="AH31:AQ31" si="3">AVERAGE(AH1:AH30)</f>
        <v>1.0806056732471916</v>
      </c>
      <c r="AI31" s="3">
        <f t="shared" si="3"/>
        <v>0.99029371388605747</v>
      </c>
      <c r="AJ31" s="3">
        <f t="shared" si="3"/>
        <v>1.6794792413216793</v>
      </c>
      <c r="AK31" s="3">
        <f t="shared" si="3"/>
        <v>1.2519012400620946</v>
      </c>
      <c r="AL31" s="3">
        <f t="shared" si="3"/>
        <v>1.8666806307791082</v>
      </c>
      <c r="AM31" s="3">
        <f t="shared" si="3"/>
        <v>1.646669272504125</v>
      </c>
      <c r="AN31" s="3">
        <f t="shared" si="3"/>
        <v>1.5384896187218449</v>
      </c>
      <c r="AO31" s="3">
        <f t="shared" si="3"/>
        <v>1.9210869075090149</v>
      </c>
      <c r="AP31" s="3">
        <f t="shared" si="3"/>
        <v>1.4998726103612481</v>
      </c>
      <c r="AQ31" s="3">
        <f t="shared" si="3"/>
        <v>1.7053300257401129</v>
      </c>
      <c r="AS31" s="3">
        <f t="shared" ref="AS31:BB31" si="4">AVERAGE(AS1:AS30)</f>
        <v>1.0360448287513766</v>
      </c>
      <c r="AT31" s="3">
        <f t="shared" si="4"/>
        <v>1.2177755282493308</v>
      </c>
      <c r="AU31" s="3">
        <f t="shared" si="4"/>
        <v>1.3238533183008265</v>
      </c>
      <c r="AV31" s="3">
        <f t="shared" si="4"/>
        <v>1.3090202168697334</v>
      </c>
      <c r="AW31" s="3">
        <f t="shared" si="4"/>
        <v>1.8772879537990481</v>
      </c>
      <c r="AX31" s="3">
        <f t="shared" si="4"/>
        <v>1.4982163025279678</v>
      </c>
      <c r="AY31" s="3">
        <f t="shared" si="4"/>
        <v>1.5198555577905306</v>
      </c>
      <c r="AZ31" s="3">
        <f t="shared" si="4"/>
        <v>1.8715297841855005</v>
      </c>
      <c r="BA31" s="3">
        <f t="shared" si="4"/>
        <v>1.5800689920448356</v>
      </c>
      <c r="BB31" s="3">
        <f t="shared" si="4"/>
        <v>1.8543300188837735</v>
      </c>
      <c r="BD31" s="3">
        <f t="shared" ref="BD31:BM31" si="5">AVERAGE(BD1:BD30)</f>
        <v>1.0179004473466193</v>
      </c>
      <c r="BE31" s="3">
        <f t="shared" si="5"/>
        <v>1.3244677378053893</v>
      </c>
      <c r="BF31" s="3">
        <f t="shared" si="5"/>
        <v>1.6035221660255055</v>
      </c>
      <c r="BG31" s="3">
        <f t="shared" si="5"/>
        <v>1.3847086691161767</v>
      </c>
      <c r="BH31" s="3">
        <f t="shared" si="5"/>
        <v>1.6477724562287532</v>
      </c>
      <c r="BI31" s="3">
        <f t="shared" si="5"/>
        <v>1.219132820751595</v>
      </c>
      <c r="BJ31" s="3">
        <f t="shared" si="5"/>
        <v>1.4420799667859683</v>
      </c>
      <c r="BK31" s="3">
        <f t="shared" si="5"/>
        <v>1.9613290164134611</v>
      </c>
      <c r="BL31" s="3">
        <f t="shared" si="5"/>
        <v>1.7135743256478853</v>
      </c>
      <c r="BM31" s="3">
        <f t="shared" si="5"/>
        <v>1.6960961875127389</v>
      </c>
      <c r="BO31" s="3">
        <f t="shared" ref="BO31:BX31" si="6">AVERAGE(BO1:BO30)</f>
        <v>0.97784685016692185</v>
      </c>
      <c r="BP31" s="3">
        <f t="shared" si="6"/>
        <v>1.1704621131968449</v>
      </c>
      <c r="BQ31" s="3">
        <f t="shared" si="6"/>
        <v>1.5341203192670956</v>
      </c>
      <c r="BR31" s="3">
        <f t="shared" si="6"/>
        <v>1.3383768679057537</v>
      </c>
      <c r="BS31" s="3">
        <f t="shared" si="6"/>
        <v>1.8663956785099205</v>
      </c>
      <c r="BT31" s="3">
        <f t="shared" si="6"/>
        <v>1.4956292448487745</v>
      </c>
      <c r="BU31" s="3">
        <f t="shared" si="6"/>
        <v>1.4334540158694533</v>
      </c>
      <c r="BV31" s="3">
        <f t="shared" si="6"/>
        <v>1.9066067514126179</v>
      </c>
      <c r="BW31" s="3">
        <f t="shared" si="6"/>
        <v>1.7118151734165934</v>
      </c>
      <c r="BX31" s="3">
        <f t="shared" si="6"/>
        <v>1.7872157559366306</v>
      </c>
      <c r="BZ31" s="3">
        <f t="shared" ref="BZ31:CI31" si="7">AVERAGE(BZ1:BZ30)</f>
        <v>1.0175900254362205</v>
      </c>
      <c r="CA31" s="3">
        <f t="shared" si="7"/>
        <v>1.3280928472624509</v>
      </c>
      <c r="CB31" s="3">
        <f t="shared" si="7"/>
        <v>1.7180298454528391</v>
      </c>
      <c r="CC31" s="3">
        <f t="shared" si="7"/>
        <v>1.2130510370074867</v>
      </c>
      <c r="CD31" s="3">
        <f t="shared" si="7"/>
        <v>1.870968523131403</v>
      </c>
      <c r="CE31" s="3">
        <f t="shared" si="7"/>
        <v>1.3905930053500917</v>
      </c>
      <c r="CF31" s="3">
        <f t="shared" si="7"/>
        <v>1.4453794013485701</v>
      </c>
      <c r="CG31" s="3">
        <f t="shared" si="7"/>
        <v>2.0158060361679713</v>
      </c>
      <c r="CH31" s="3">
        <f t="shared" si="7"/>
        <v>1.4620242346684493</v>
      </c>
      <c r="CI31" s="3">
        <f t="shared" si="7"/>
        <v>1.9040095071402894</v>
      </c>
    </row>
    <row r="33" spans="1:21" x14ac:dyDescent="0.3">
      <c r="A33" s="3"/>
      <c r="B33" s="13">
        <v>1</v>
      </c>
      <c r="C33" s="13">
        <v>2</v>
      </c>
      <c r="D33" s="13">
        <v>3</v>
      </c>
      <c r="E33" s="13">
        <v>4</v>
      </c>
      <c r="F33" s="13">
        <v>5</v>
      </c>
      <c r="G33" s="13">
        <v>6</v>
      </c>
      <c r="H33" s="13">
        <v>7</v>
      </c>
      <c r="I33" s="13">
        <v>8</v>
      </c>
      <c r="J33" s="13">
        <v>9</v>
      </c>
      <c r="K33" s="13">
        <v>10</v>
      </c>
    </row>
    <row r="34" spans="1:21" x14ac:dyDescent="0.3">
      <c r="A34" s="2" t="s">
        <v>0</v>
      </c>
      <c r="B34" s="5">
        <v>1</v>
      </c>
      <c r="C34" s="5">
        <v>1.2</v>
      </c>
      <c r="D34" s="5">
        <v>1.6</v>
      </c>
      <c r="E34" s="5">
        <v>1.3</v>
      </c>
      <c r="F34" s="5">
        <v>1.7</v>
      </c>
      <c r="G34" s="5">
        <v>1.4</v>
      </c>
      <c r="H34" s="5">
        <v>1.5</v>
      </c>
      <c r="I34" s="5">
        <v>1.9</v>
      </c>
      <c r="J34" s="5">
        <v>1.6</v>
      </c>
      <c r="K34" s="5">
        <v>1.8</v>
      </c>
    </row>
    <row r="35" spans="1:21" x14ac:dyDescent="0.3">
      <c r="A35" s="2" t="s">
        <v>1</v>
      </c>
      <c r="B35" s="5">
        <v>0.5</v>
      </c>
      <c r="C35" s="5">
        <v>0.6</v>
      </c>
      <c r="D35" s="5">
        <v>0.7</v>
      </c>
      <c r="E35" s="5">
        <v>0.5</v>
      </c>
      <c r="F35" s="5">
        <v>0.7</v>
      </c>
      <c r="G35" s="5">
        <v>0.8</v>
      </c>
      <c r="H35" s="5">
        <v>0.4</v>
      </c>
      <c r="I35" s="5">
        <v>0.4</v>
      </c>
      <c r="J35" s="5">
        <v>0.5</v>
      </c>
      <c r="K35" s="5">
        <v>0.9</v>
      </c>
    </row>
    <row r="37" spans="1:21" x14ac:dyDescent="0.3">
      <c r="Q37" s="51"/>
      <c r="R37" s="51"/>
    </row>
    <row r="38" spans="1:21" ht="43.2" x14ac:dyDescent="0.3">
      <c r="A38" s="6">
        <v>0.84657923353855347</v>
      </c>
      <c r="B38" s="6">
        <f>L31</f>
        <v>0.90880722104217659</v>
      </c>
      <c r="C38" s="6">
        <f>W31</f>
        <v>1.1054554938188328</v>
      </c>
      <c r="D38" s="6">
        <v>1.0806056732471916</v>
      </c>
      <c r="E38" s="1">
        <v>1.0360448287513766</v>
      </c>
      <c r="F38" s="1">
        <v>1.0179004473466193</v>
      </c>
      <c r="G38" s="1">
        <v>0.97784685016692185</v>
      </c>
      <c r="H38" s="1">
        <v>1.0175900254362205</v>
      </c>
      <c r="I38" s="3">
        <f>AVERAGE(A38:H38)</f>
        <v>0.99885372166848663</v>
      </c>
      <c r="J38" s="48">
        <f>(I38-$O$38)^2</f>
        <v>0.2588951704777479</v>
      </c>
      <c r="M38" s="42" t="s">
        <v>5</v>
      </c>
      <c r="N38" s="42"/>
      <c r="O38" s="32">
        <f>AVERAGE(A38:H47)</f>
        <v>1.5076711451886997</v>
      </c>
      <c r="P38" s="11" t="s">
        <v>9</v>
      </c>
      <c r="Q38" s="32">
        <f>(1/63)*SUM(A52:H61)</f>
        <v>1.4265981258326947E-2</v>
      </c>
    </row>
    <row r="39" spans="1:21" ht="14.4" customHeight="1" x14ac:dyDescent="0.3">
      <c r="A39" s="6">
        <v>1.264906339503068</v>
      </c>
      <c r="B39" s="6">
        <f>M31</f>
        <v>1.3262620344277822</v>
      </c>
      <c r="C39" s="6">
        <f>X31</f>
        <v>1.1017494019426519</v>
      </c>
      <c r="D39" s="6">
        <v>0.99029371388605747</v>
      </c>
      <c r="E39" s="1">
        <v>1.2177755282493308</v>
      </c>
      <c r="F39" s="1">
        <v>1.3244677378053893</v>
      </c>
      <c r="G39" s="1">
        <v>1.1704621131968449</v>
      </c>
      <c r="H39" s="1">
        <v>1.3280928472624509</v>
      </c>
      <c r="I39" s="3">
        <f t="shared" ref="I39:I47" si="8">AVERAGE(A39:H39)</f>
        <v>1.215501214534197</v>
      </c>
      <c r="J39" s="48">
        <f>(I39-$O$38)^2</f>
        <v>8.5363268378656917E-2</v>
      </c>
      <c r="M39" s="43" t="s">
        <v>148</v>
      </c>
      <c r="N39" s="43"/>
      <c r="O39" s="10">
        <f>VAR(A38:H47)</f>
        <v>8.3013038870133268E-2</v>
      </c>
      <c r="P39" s="14" t="s">
        <v>10</v>
      </c>
      <c r="Q39" s="32">
        <f>(10/9)*I50</f>
        <v>3.3243969760201981E-3</v>
      </c>
      <c r="R39" s="47" t="s">
        <v>155</v>
      </c>
      <c r="S39" s="47"/>
      <c r="T39" s="47"/>
      <c r="U39" s="3">
        <f>(10/9)*J48</f>
        <v>0.78185467759468441</v>
      </c>
    </row>
    <row r="40" spans="1:21" x14ac:dyDescent="0.3">
      <c r="A40" s="6">
        <v>1.8798018272187629</v>
      </c>
      <c r="B40" s="6">
        <f>N31</f>
        <v>1.5874810403828943</v>
      </c>
      <c r="C40" s="6">
        <f>Y31</f>
        <v>1.6614255175908821</v>
      </c>
      <c r="D40" s="6">
        <v>1.6794792413216793</v>
      </c>
      <c r="E40" s="1">
        <v>1.3238533183008265</v>
      </c>
      <c r="F40" s="1">
        <v>1.6035221660255055</v>
      </c>
      <c r="G40" s="1">
        <v>1.5341203192670956</v>
      </c>
      <c r="H40" s="1">
        <v>1.7180298454528391</v>
      </c>
      <c r="I40" s="3">
        <f t="shared" si="8"/>
        <v>1.623464159445061</v>
      </c>
      <c r="J40" s="48">
        <f>(I40-$O$38)^2</f>
        <v>1.3408022150573877E-2</v>
      </c>
      <c r="M40" s="42" t="s">
        <v>12</v>
      </c>
      <c r="N40" s="42"/>
      <c r="O40" s="32">
        <f>Q39/Q38</f>
        <v>0.23302967498851665</v>
      </c>
      <c r="P40" s="33" t="s">
        <v>147</v>
      </c>
      <c r="Q40" s="52">
        <f>_xlfn.F.INV(0.95,7,72)</f>
        <v>2.1396555123991972</v>
      </c>
      <c r="T40" s="53"/>
      <c r="U40" s="53"/>
    </row>
    <row r="41" spans="1:21" x14ac:dyDescent="0.3">
      <c r="A41" s="6">
        <v>1.3173990126010415</v>
      </c>
      <c r="B41" s="6">
        <f>O31</f>
        <v>1.3952172361697495</v>
      </c>
      <c r="C41" s="6">
        <f>Z31</f>
        <v>1.3371882720173742</v>
      </c>
      <c r="D41" s="6">
        <v>1.2519012400620946</v>
      </c>
      <c r="E41" s="1">
        <v>1.3090202168697334</v>
      </c>
      <c r="F41" s="1">
        <v>1.3847086691161767</v>
      </c>
      <c r="G41" s="1">
        <v>1.3383768679057537</v>
      </c>
      <c r="H41" s="1">
        <v>1.2130510370074867</v>
      </c>
      <c r="I41" s="3">
        <f t="shared" si="8"/>
        <v>1.3183578189686764</v>
      </c>
      <c r="J41" s="48">
        <f>(I41-$O$38)^2</f>
        <v>3.5839535484488955E-2</v>
      </c>
      <c r="M41" s="42" t="s">
        <v>12</v>
      </c>
      <c r="N41" s="42"/>
      <c r="O41" s="53">
        <f>U39/Q38</f>
        <v>54.805530964673153</v>
      </c>
      <c r="P41" s="53"/>
    </row>
    <row r="42" spans="1:21" x14ac:dyDescent="0.3">
      <c r="A42" s="6">
        <v>1.7612725102655538</v>
      </c>
      <c r="B42" s="6">
        <f>P31</f>
        <v>1.6135431683801782</v>
      </c>
      <c r="C42" s="6">
        <f>AA31</f>
        <v>1.396999922586353</v>
      </c>
      <c r="D42" s="6">
        <v>1.8666806307791082</v>
      </c>
      <c r="E42" s="1">
        <v>1.8772879537990481</v>
      </c>
      <c r="F42" s="1">
        <v>1.6477724562287532</v>
      </c>
      <c r="G42" s="1">
        <v>1.8663956785099205</v>
      </c>
      <c r="H42" s="1">
        <v>1.870968523131403</v>
      </c>
      <c r="I42" s="3">
        <f t="shared" si="8"/>
        <v>1.7376151054600397</v>
      </c>
      <c r="J42" s="48">
        <f>(I42-$O$38)^2</f>
        <v>5.2874224865267591E-2</v>
      </c>
      <c r="M42" s="35" t="s">
        <v>15</v>
      </c>
      <c r="N42" s="35"/>
      <c r="O42" s="35"/>
      <c r="P42" s="35"/>
      <c r="Q42" s="35"/>
      <c r="R42" s="35"/>
      <c r="S42" s="35"/>
      <c r="T42" s="35"/>
    </row>
    <row r="43" spans="1:21" x14ac:dyDescent="0.3">
      <c r="A43" s="6">
        <v>1.1783369205232395</v>
      </c>
      <c r="B43" s="6">
        <f>Q31</f>
        <v>1.4231594640354153</v>
      </c>
      <c r="C43" s="6">
        <f>AB31</f>
        <v>1.2773803478494901</v>
      </c>
      <c r="D43" s="6">
        <v>1.646669272504125</v>
      </c>
      <c r="E43" s="1">
        <v>1.4982163025279678</v>
      </c>
      <c r="F43" s="1">
        <v>1.219132820751595</v>
      </c>
      <c r="G43" s="1">
        <v>1.4956292448487745</v>
      </c>
      <c r="H43" s="1">
        <v>1.3905930053500917</v>
      </c>
      <c r="I43" s="3">
        <f t="shared" si="8"/>
        <v>1.3911396722988374</v>
      </c>
      <c r="J43" s="48">
        <f>(I43-$O$38)^2</f>
        <v>1.3579584173880718E-2</v>
      </c>
    </row>
    <row r="44" spans="1:21" x14ac:dyDescent="0.3">
      <c r="A44" s="6">
        <v>1.576252869500119</v>
      </c>
      <c r="B44" s="6">
        <f>R31</f>
        <v>1.5098303644335829</v>
      </c>
      <c r="C44" s="6">
        <f>AC31</f>
        <v>1.5676210068680423</v>
      </c>
      <c r="D44" s="6">
        <v>1.5384896187218449</v>
      </c>
      <c r="E44" s="1">
        <v>1.5198555577905306</v>
      </c>
      <c r="F44" s="1">
        <v>1.4420799667859683</v>
      </c>
      <c r="G44" s="1">
        <v>1.4334540158694533</v>
      </c>
      <c r="H44" s="1">
        <v>1.4453794013485701</v>
      </c>
      <c r="I44" s="3">
        <f t="shared" si="8"/>
        <v>1.5041203501647638</v>
      </c>
      <c r="J44" s="48">
        <f>(I44-$O$38)^2</f>
        <v>1.2608145302008373E-5</v>
      </c>
      <c r="M44" s="54" t="s">
        <v>156</v>
      </c>
      <c r="N44" s="54"/>
      <c r="O44" s="54"/>
      <c r="P44" s="54"/>
      <c r="Q44" s="54"/>
      <c r="R44" s="54"/>
      <c r="S44" s="54"/>
      <c r="T44" s="54"/>
    </row>
    <row r="45" spans="1:21" x14ac:dyDescent="0.3">
      <c r="A45" s="6">
        <v>1.8824504660258137</v>
      </c>
      <c r="B45" s="6">
        <f>S31</f>
        <v>1.825002384770777</v>
      </c>
      <c r="C45" s="6">
        <f>AD31</f>
        <v>1.8784870245396925</v>
      </c>
      <c r="D45" s="6">
        <v>1.9210869075090149</v>
      </c>
      <c r="E45" s="1">
        <v>1.8715297841855005</v>
      </c>
      <c r="F45" s="1">
        <v>1.9613290164134611</v>
      </c>
      <c r="G45" s="1">
        <v>1.9066067514126179</v>
      </c>
      <c r="H45" s="1">
        <v>2.0158060361679713</v>
      </c>
      <c r="I45" s="3">
        <f t="shared" si="8"/>
        <v>1.9077872963781062</v>
      </c>
      <c r="J45" s="48">
        <f>(I45-$O$38)^2</f>
        <v>0.16009293444262399</v>
      </c>
    </row>
    <row r="46" spans="1:21" x14ac:dyDescent="0.3">
      <c r="A46" s="6">
        <v>1.6544210176182494</v>
      </c>
      <c r="B46" s="6">
        <f>T31</f>
        <v>1.5347186682522691</v>
      </c>
      <c r="C46" s="6">
        <f>AE31</f>
        <v>1.6219052367356208</v>
      </c>
      <c r="D46" s="6">
        <v>1.4998726103612481</v>
      </c>
      <c r="E46" s="1">
        <v>1.5800689920448356</v>
      </c>
      <c r="F46" s="1">
        <v>1.7135743256478853</v>
      </c>
      <c r="G46" s="1">
        <v>1.7118151734165934</v>
      </c>
      <c r="H46" s="1">
        <v>1.4620242346684493</v>
      </c>
      <c r="I46" s="3">
        <f t="shared" si="8"/>
        <v>1.5973000323431439</v>
      </c>
      <c r="J46" s="48">
        <f>(I46-$O$38)^2</f>
        <v>8.0333374125440872E-3</v>
      </c>
    </row>
    <row r="47" spans="1:21" x14ac:dyDescent="0.3">
      <c r="A47" s="29">
        <v>1.8102704234450344</v>
      </c>
      <c r="B47" s="29">
        <f>U31</f>
        <v>1.6222416479620727</v>
      </c>
      <c r="C47" s="29">
        <f>AF31</f>
        <v>1.8810830783848351</v>
      </c>
      <c r="D47" s="29">
        <v>1.7053300257401129</v>
      </c>
      <c r="E47" s="30">
        <v>1.8543300188837735</v>
      </c>
      <c r="F47" s="30">
        <v>1.6960961875127389</v>
      </c>
      <c r="G47" s="30">
        <v>1.7872157559366306</v>
      </c>
      <c r="H47" s="30">
        <v>1.9040095071402894</v>
      </c>
      <c r="I47" s="3">
        <f t="shared" si="8"/>
        <v>1.7825720806256857</v>
      </c>
      <c r="J47" s="48">
        <f>(I47-$O$38)^2</f>
        <v>7.5570524304129957E-2</v>
      </c>
    </row>
    <row r="48" spans="1:21" x14ac:dyDescent="0.3">
      <c r="A48" s="3">
        <f>AVERAGE(A38:A47)</f>
        <v>1.5171690620239435</v>
      </c>
      <c r="B48" s="3">
        <f t="shared" ref="B48:H48" si="9">AVERAGE(B38:B47)</f>
        <v>1.4746263229856897</v>
      </c>
      <c r="C48" s="3">
        <f t="shared" si="9"/>
        <v>1.4829295302333776</v>
      </c>
      <c r="D48" s="3">
        <f t="shared" si="9"/>
        <v>1.5180408934132477</v>
      </c>
      <c r="E48" s="3">
        <f t="shared" si="9"/>
        <v>1.5087982501402926</v>
      </c>
      <c r="F48" s="3">
        <f t="shared" si="9"/>
        <v>1.5010583793634091</v>
      </c>
      <c r="G48" s="3">
        <f t="shared" si="9"/>
        <v>1.5221922770530605</v>
      </c>
      <c r="H48" s="3">
        <f t="shared" si="9"/>
        <v>1.536554446296577</v>
      </c>
      <c r="I48" s="31" t="s">
        <v>27</v>
      </c>
      <c r="J48" s="49">
        <f>SUM(J38:J47)</f>
        <v>0.70366920983521597</v>
      </c>
    </row>
    <row r="49" spans="1:10" x14ac:dyDescent="0.3">
      <c r="A49" s="3">
        <f>VAR(A38:A47)</f>
        <v>0.12231104618168824</v>
      </c>
      <c r="B49" s="3">
        <f t="shared" ref="B49:H49" si="10">VAR(B38:B47)</f>
        <v>5.9172891043286789E-2</v>
      </c>
      <c r="C49" s="3">
        <f t="shared" si="10"/>
        <v>8.1333278498758849E-2</v>
      </c>
      <c r="D49" s="3">
        <f t="shared" si="10"/>
        <v>0.10034730938022524</v>
      </c>
      <c r="E49" s="3">
        <f t="shared" si="10"/>
        <v>8.6041189278441024E-2</v>
      </c>
      <c r="F49" s="3">
        <f t="shared" si="10"/>
        <v>7.6466583563433152E-2</v>
      </c>
      <c r="G49" s="3">
        <f t="shared" si="10"/>
        <v>9.2775696144827904E-2</v>
      </c>
      <c r="H49" s="3">
        <f t="shared" si="10"/>
        <v>0.10689761679337392</v>
      </c>
      <c r="I49" s="3" t="s">
        <v>146</v>
      </c>
      <c r="J49" s="50"/>
    </row>
    <row r="50" spans="1:10" x14ac:dyDescent="0.3">
      <c r="A50" s="1">
        <f>(A48-$O$38)^2</f>
        <v>9.021042420920786E-5</v>
      </c>
      <c r="B50" s="1">
        <f>(B48-$O$38)^2</f>
        <v>1.0919602744285408E-3</v>
      </c>
      <c r="C50" s="1">
        <f>(C48-$O$38)^2</f>
        <v>6.1214751059741933E-4</v>
      </c>
      <c r="D50" s="1">
        <f>(D48-$O$38)^2</f>
        <v>1.0753167824051532E-4</v>
      </c>
      <c r="E50" s="1">
        <f>(E48-$O$38)^2</f>
        <v>1.2703655719051207E-6</v>
      </c>
      <c r="F50" s="1">
        <f>(F48-$O$38)^2</f>
        <v>4.3728671860130985E-5</v>
      </c>
      <c r="G50" s="1">
        <f>(G48-$O$38)^2</f>
        <v>2.1086327062215369E-4</v>
      </c>
      <c r="H50" s="1">
        <f>(H48-$O$38)^2</f>
        <v>8.3424508288830555E-4</v>
      </c>
      <c r="I50" s="1">
        <f>SUM(A50:H50)</f>
        <v>2.9919572784181782E-3</v>
      </c>
    </row>
    <row r="52" spans="1:10" x14ac:dyDescent="0.3">
      <c r="A52" s="1">
        <f>POWER(A38-$A$48-I38+$O$38,2)</f>
        <v>2.6170311008217217E-2</v>
      </c>
      <c r="B52" s="1">
        <f>POWER(B38-$B$48-I38+$O$38,2)</f>
        <v>3.2491913430733117E-3</v>
      </c>
      <c r="C52" s="1">
        <f>POWER(C38-$C$48-I38+$O$38,2)</f>
        <v>1.7251085336389461E-2</v>
      </c>
      <c r="D52" s="1">
        <f>POWER(D38-$D$48-I38+$O$38,2)</f>
        <v>5.0954189556942408E-3</v>
      </c>
      <c r="E52" s="1">
        <f>POWER(E38-$E$48-I38+$O$38,2)</f>
        <v>1.3006122497262115E-3</v>
      </c>
      <c r="F52" s="1">
        <f>POWER(F38-$F$48-I38+$O$38,2)</f>
        <v>6.5840950421424587E-4</v>
      </c>
      <c r="G52" s="1">
        <f>POWER(G38-$G$48-I38+$O$38,2)</f>
        <v>1.2622390231692166E-3</v>
      </c>
      <c r="H52" s="1">
        <f>POWER(H38-$H$48-I38+$O$38,2)</f>
        <v>1.029615550208762E-4</v>
      </c>
    </row>
    <row r="53" spans="1:10" x14ac:dyDescent="0.3">
      <c r="A53" s="1">
        <f>POWER(A39-$A$48-I39+$O$38,2)</f>
        <v>1.592585261020636E-3</v>
      </c>
      <c r="B53" s="1">
        <f>POWER(B39-$B$48-I39+$O$38,2)</f>
        <v>2.068006269881403E-2</v>
      </c>
      <c r="C53" s="1">
        <f>POWER(C39-$C$48-I39+$O$38,2)</f>
        <v>7.922815283239475E-3</v>
      </c>
      <c r="D53" s="1">
        <f>POWER(D39-$D$48-I39+$O$38,2)</f>
        <v>5.549664018642414E-2</v>
      </c>
      <c r="E53" s="1">
        <f>POWER(E39-$E$48-I39+$O$38,2)</f>
        <v>1.3160879471450586E-6</v>
      </c>
      <c r="F53" s="1">
        <f>POWER(F39-$F$48-I39+$O$38,2)</f>
        <v>1.3358572068048359E-2</v>
      </c>
      <c r="G53" s="1">
        <f>POWER(G39-$G$48-I39+$O$38,2)</f>
        <v>3.5474213790424223E-3</v>
      </c>
      <c r="H53" s="1">
        <f>POWER(H39-$H$48-I39+$O$38,2)</f>
        <v>7.0070847826669419E-3</v>
      </c>
    </row>
    <row r="54" spans="1:10" x14ac:dyDescent="0.3">
      <c r="A54" s="1">
        <f>POWER(A40-$A$48-I40+$O$38,2)</f>
        <v>6.0929862643360033E-2</v>
      </c>
      <c r="B54" s="1">
        <f>POWER(B40-$B$48-I40+$O$38,2)</f>
        <v>8.6335884325301107E-6</v>
      </c>
      <c r="C54" s="1">
        <f>POWER(C40-$C$48-I40+$O$38,2)</f>
        <v>3.9316628357226949E-3</v>
      </c>
      <c r="D54" s="1">
        <f>POWER(D40-$D$48-I40+$O$38,2)</f>
        <v>2.083496484208826E-3</v>
      </c>
      <c r="E54" s="1">
        <f>POWER(E40-$E$48-I40+$O$38,2)</f>
        <v>9.0443312221936703E-2</v>
      </c>
      <c r="F54" s="1">
        <f>POWER(F40-$F$48-I40+$O$38,2)</f>
        <v>1.7766830825971324E-4</v>
      </c>
      <c r="G54" s="1">
        <f>POWER(G40-$G$48-I40+$O$38,2)</f>
        <v>1.0787932417353192E-2</v>
      </c>
      <c r="H54" s="1">
        <f>POWER(H40-$H$48-I40+$O$38,2)</f>
        <v>4.3141756861387239E-3</v>
      </c>
    </row>
    <row r="55" spans="1:10" x14ac:dyDescent="0.3">
      <c r="A55" s="1">
        <f>POWER(A41-$A$48-I41+$O$38,2)</f>
        <v>1.093430601416221E-4</v>
      </c>
      <c r="B55" s="1">
        <f>POWER(B41-$B$48-I41+$O$38,2)</f>
        <v>1.2078941838989991E-2</v>
      </c>
      <c r="C55" s="1">
        <f>POWER(C41-$C$48-I41+$O$38,2)</f>
        <v>1.8985251101469359E-3</v>
      </c>
      <c r="D55" s="1">
        <f>POWER(D41-$D$48-I41+$O$38,2)</f>
        <v>5.9022845404593707E-3</v>
      </c>
      <c r="E55" s="1">
        <f>POWER(E41-$E$48-I41+$O$38,2)</f>
        <v>1.0951009365353633E-4</v>
      </c>
      <c r="F55" s="1">
        <f>POWER(F41-$F$48-I41+$O$38,2)</f>
        <v>5.323689255824905E-3</v>
      </c>
      <c r="G55" s="1">
        <f>POWER(G41-$G$48-I41+$O$38,2)</f>
        <v>3.0227092138467771E-5</v>
      </c>
      <c r="H55" s="1">
        <f>POWER(H41-$H$48-I41+$O$38,2)</f>
        <v>1.8006978394083099E-2</v>
      </c>
    </row>
    <row r="56" spans="1:10" x14ac:dyDescent="0.3">
      <c r="A56" s="1">
        <f>POWER(A42-$A$48-I42+$O$38,2)</f>
        <v>2.0049109958022719E-4</v>
      </c>
      <c r="B56" s="1">
        <f>POWER(B42-$B$48-I42+$O$38,2)</f>
        <v>8.2859356428035304E-3</v>
      </c>
      <c r="C56" s="1">
        <f>POWER(C42-$C$48-I42+$O$38,2)</f>
        <v>9.9776110909477717E-2</v>
      </c>
      <c r="D56" s="1">
        <f>POWER(D42-$D$48-I42+$O$38,2)</f>
        <v>1.4088687500072099E-2</v>
      </c>
      <c r="E56" s="1">
        <f>POWER(E42-$E$48-I42+$O$38,2)</f>
        <v>1.9194923010771598E-2</v>
      </c>
      <c r="F56" s="1">
        <f>POWER(F42-$F$48-I42+$O$38,2)</f>
        <v>6.9272134917756729E-3</v>
      </c>
      <c r="G56" s="1">
        <f>POWER(G42-$G$48-I42+$O$38,2)</f>
        <v>1.3055219900027306E-2</v>
      </c>
      <c r="H56" s="1">
        <f>POWER(H42-$H$48-I42+$O$38,2)</f>
        <v>1.091400525478836E-2</v>
      </c>
    </row>
    <row r="57" spans="1:10" x14ac:dyDescent="0.3">
      <c r="A57" s="1">
        <f>POWER(A43-$A$48-I43+$O$38,2)</f>
        <v>4.9417587264827277E-2</v>
      </c>
      <c r="B57" s="1">
        <f>POWER(B43-$B$48-I43+$O$38,2)</f>
        <v>4.2334039871076094E-3</v>
      </c>
      <c r="C57" s="1">
        <f>POWER(C43-$C$48-I43+$O$38,2)</f>
        <v>7.9241526035626654E-3</v>
      </c>
      <c r="D57" s="1">
        <f>POWER(D43-$D$48-I43+$O$38,2)</f>
        <v>6.0103353023218169E-2</v>
      </c>
      <c r="E57" s="1">
        <f>POWER(E43-$E$48-I43+$O$38,2)</f>
        <v>1.1225301906535565E-2</v>
      </c>
      <c r="F57" s="1">
        <f>POWER(F43-$F$48-I43+$O$38,2)</f>
        <v>2.7355203591800339E-2</v>
      </c>
      <c r="G57" s="1">
        <f>POWER(G43-$G$48-I43+$O$38,2)</f>
        <v>8.0943203193940619E-3</v>
      </c>
      <c r="H57" s="1">
        <f>POWER(H43-$H$48-I43+$O$38,2)</f>
        <v>8.6612301981385087E-4</v>
      </c>
    </row>
    <row r="58" spans="1:10" x14ac:dyDescent="0.3">
      <c r="A58" s="1">
        <f>POWER(A44-$A$48-I44+$O$38,2)</f>
        <v>3.9230934303469654E-3</v>
      </c>
      <c r="B58" s="1">
        <f>POWER(B44-$B$48-I44+$O$38,2)</f>
        <v>1.5019373499582142E-3</v>
      </c>
      <c r="C58" s="1">
        <f>POWER(C44-$C$48-I44+$O$38,2)</f>
        <v>7.7866985074702766E-3</v>
      </c>
      <c r="D58" s="1">
        <f>POWER(D44-$D$48-I44+$O$38,2)</f>
        <v>5.7597697619167271E-4</v>
      </c>
      <c r="E58" s="1">
        <f>POWER(E44-$E$48-I44+$O$38,2)</f>
        <v>2.1339666373920975E-4</v>
      </c>
      <c r="F58" s="1">
        <f>POWER(F44-$F$48-I44+$O$38,2)</f>
        <v>3.0722207876576037E-3</v>
      </c>
      <c r="G58" s="1">
        <f>POWER(G44-$G$48-I44+$O$38,2)</f>
        <v>7.2569043907051278E-3</v>
      </c>
      <c r="H58" s="1">
        <f>POWER(H44-$H$48-I44+$O$38,2)</f>
        <v>7.6780091747560425E-3</v>
      </c>
    </row>
    <row r="59" spans="1:10" x14ac:dyDescent="0.3">
      <c r="A59" s="1">
        <f>POWER(A45-$A$48-I45+$O$38,2)</f>
        <v>1.2134596116195695E-3</v>
      </c>
      <c r="B59" s="1">
        <f>POWER(B45-$B$48-I45+$O$38,2)</f>
        <v>2.474076493949665E-3</v>
      </c>
      <c r="C59" s="1">
        <f>POWER(C45-$C$48-I45+$O$38,2)</f>
        <v>2.0781352577757862E-5</v>
      </c>
      <c r="D59" s="1">
        <f>POWER(D45-$D$48-I45+$O$38,2)</f>
        <v>8.5840966500687749E-6</v>
      </c>
      <c r="E59" s="1">
        <f>POWER(E45-$E$48-I45+$O$38,2)</f>
        <v>1.3976095990183E-3</v>
      </c>
      <c r="F59" s="1">
        <f>POWER(F45-$F$48-I45+$O$38,2)</f>
        <v>3.6185621691586034E-3</v>
      </c>
      <c r="G59" s="1">
        <f>POWER(G45-$G$48-I45+$O$38,2)</f>
        <v>2.4654265526901758E-4</v>
      </c>
      <c r="H59" s="1">
        <f>POWER(H45-$H$48-I45+$O$38,2)</f>
        <v>6.2624176553906516E-3</v>
      </c>
    </row>
    <row r="60" spans="1:10" x14ac:dyDescent="0.3">
      <c r="A60" s="1">
        <f>POWER(A46-$A$48-I46+$O$38,2)</f>
        <v>2.2679566476277563E-3</v>
      </c>
      <c r="B60" s="1">
        <f>POWER(B46-$B$48-I46+$O$38,2)</f>
        <v>8.7240730669359246E-4</v>
      </c>
      <c r="C60" s="1">
        <f>POWER(C46-$C$48-I46+$O$38,2)</f>
        <v>2.4351085797443151E-3</v>
      </c>
      <c r="D60" s="1">
        <f>POWER(D46-$D$48-I46+$O$38,2)</f>
        <v>1.1620229904517004E-2</v>
      </c>
      <c r="E60" s="1">
        <f>POWER(E46-$E$48-I46+$O$38,2)</f>
        <v>3.3702149701646603E-4</v>
      </c>
      <c r="F60" s="1">
        <f>POWER(F46-$F$48-I46+$O$38,2)</f>
        <v>1.5101229301627968E-2</v>
      </c>
      <c r="G60" s="1">
        <f>POWER(G46-$G$48-I46+$O$38,2)</f>
        <v>9.9988018777073234E-3</v>
      </c>
      <c r="H60" s="1">
        <f>POWER(H46-$H$48-I46+$O$38,2)</f>
        <v>2.6948209713106179E-2</v>
      </c>
    </row>
    <row r="61" spans="1:10" x14ac:dyDescent="0.3">
      <c r="A61" s="1">
        <f>POWER(A47-$A$48-I47+$O$38,2)</f>
        <v>3.3125550600287987E-4</v>
      </c>
      <c r="B61" s="1">
        <f>POWER(B47-$B$48-I47+$O$38,2)</f>
        <v>1.620162663032838E-2</v>
      </c>
      <c r="C61" s="1">
        <f>POWER(C47-$C$48-I47+$O$38,2)</f>
        <v>1.5191206540943508E-2</v>
      </c>
      <c r="D61" s="1">
        <f>POWER(D47-$D$48-I47+$O$38,2)</f>
        <v>7.6758280442065611E-3</v>
      </c>
      <c r="E61" s="1">
        <f>POWER(E47-$E$48-I47+$O$38,2)</f>
        <v>4.9887146135698677E-3</v>
      </c>
      <c r="F61" s="1">
        <f>POWER(F47-$F$48-I47+$O$38,2)</f>
        <v>6.3781191001643783E-3</v>
      </c>
      <c r="G61" s="1">
        <f>POWER(G47-$G$48-I47+$O$38,2)</f>
        <v>9.7564147964618222E-5</v>
      </c>
      <c r="H61" s="1">
        <f>POWER(H47-$H$48-I47+$O$38,2)</f>
        <v>8.5662661298040298E-3</v>
      </c>
    </row>
  </sheetData>
  <mergeCells count="9">
    <mergeCell ref="M44:T44"/>
    <mergeCell ref="M38:N38"/>
    <mergeCell ref="M39:N39"/>
    <mergeCell ref="M40:N40"/>
    <mergeCell ref="M42:T42"/>
    <mergeCell ref="R39:T39"/>
    <mergeCell ref="O41:P41"/>
    <mergeCell ref="T40:U40"/>
    <mergeCell ref="M41:N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82C3-5819-459A-9240-4784E8945923}">
  <dimension ref="A1:X26"/>
  <sheetViews>
    <sheetView workbookViewId="0">
      <selection activeCell="M28" sqref="M28"/>
    </sheetView>
  </sheetViews>
  <sheetFormatPr defaultRowHeight="14.4" x14ac:dyDescent="0.3"/>
  <cols>
    <col min="14" max="14" width="11.6640625" customWidth="1"/>
  </cols>
  <sheetData>
    <row r="1" spans="1:24" x14ac:dyDescent="0.3">
      <c r="A1" s="1">
        <v>0.84657923353855347</v>
      </c>
      <c r="B1" s="1">
        <v>0.90880722104217659</v>
      </c>
      <c r="C1" s="1">
        <v>1.1054554938188328</v>
      </c>
      <c r="D1" s="1">
        <v>1.0806056732471916</v>
      </c>
      <c r="E1" s="1">
        <v>1.0360448287513766</v>
      </c>
      <c r="F1" s="1">
        <v>1.0179004473466193</v>
      </c>
      <c r="G1" s="1">
        <v>0.97784685016692185</v>
      </c>
      <c r="H1" s="1">
        <v>1.0175900254362205</v>
      </c>
    </row>
    <row r="2" spans="1:24" x14ac:dyDescent="0.3">
      <c r="A2" s="1">
        <v>1.1783369205232395</v>
      </c>
      <c r="B2" s="1">
        <v>1.4231594640354153</v>
      </c>
      <c r="C2" s="1">
        <v>1.2773803478494901</v>
      </c>
      <c r="D2" s="1">
        <v>1.646669272504125</v>
      </c>
      <c r="E2" s="1">
        <v>1.4982163025279678</v>
      </c>
      <c r="F2" s="1">
        <v>1.219132820751595</v>
      </c>
      <c r="G2" s="1">
        <v>1.4956292448487745</v>
      </c>
      <c r="H2" s="1">
        <v>1.3905930053500917</v>
      </c>
    </row>
    <row r="3" spans="1:24" x14ac:dyDescent="0.3">
      <c r="A3" s="1">
        <v>1.264906339503068</v>
      </c>
      <c r="B3" s="1">
        <v>1.3262620344277822</v>
      </c>
      <c r="C3" s="1">
        <v>1.1017494019426519</v>
      </c>
      <c r="D3" s="1">
        <v>0.99029371388605747</v>
      </c>
      <c r="E3" s="1">
        <v>1.2177755282493308</v>
      </c>
      <c r="F3" s="1">
        <v>1.3244677378053893</v>
      </c>
      <c r="G3" s="1">
        <v>1.1704621131968449</v>
      </c>
      <c r="H3" s="1">
        <v>1.3280928472624509</v>
      </c>
    </row>
    <row r="4" spans="1:24" x14ac:dyDescent="0.3">
      <c r="A4" s="1">
        <v>1.3173990126010415</v>
      </c>
      <c r="B4" s="1">
        <v>1.3952172361697495</v>
      </c>
      <c r="C4" s="1">
        <v>1.3371882720173742</v>
      </c>
      <c r="D4" s="1">
        <v>1.2519012400620946</v>
      </c>
      <c r="E4" s="1">
        <v>1.3090202168697334</v>
      </c>
      <c r="F4" s="1">
        <v>1.3847086691161767</v>
      </c>
      <c r="G4" s="1">
        <v>1.3383768679057537</v>
      </c>
      <c r="H4" s="1">
        <v>1.2130510370074867</v>
      </c>
    </row>
    <row r="5" spans="1:24" x14ac:dyDescent="0.3">
      <c r="A5" s="1">
        <v>1.576252869500119</v>
      </c>
      <c r="B5" s="1">
        <v>1.5098303644335829</v>
      </c>
      <c r="C5" s="1">
        <v>1.5676210068680423</v>
      </c>
      <c r="D5" s="1">
        <v>1.5384896187218449</v>
      </c>
      <c r="E5" s="1">
        <v>1.5198555577905306</v>
      </c>
      <c r="F5" s="1">
        <v>1.4420799667859683</v>
      </c>
      <c r="G5" s="1">
        <v>1.4334540158694533</v>
      </c>
      <c r="H5" s="1">
        <v>1.4453794013485701</v>
      </c>
    </row>
    <row r="6" spans="1:24" x14ac:dyDescent="0.3">
      <c r="A6" s="1">
        <v>1.6544210176182494</v>
      </c>
      <c r="B6" s="1">
        <v>1.5347186682522691</v>
      </c>
      <c r="C6" s="1">
        <v>1.6219052367356208</v>
      </c>
      <c r="D6" s="1">
        <v>1.4998726103612481</v>
      </c>
      <c r="E6" s="1">
        <v>1.5800689920448356</v>
      </c>
      <c r="F6" s="1">
        <v>1.7135743256478853</v>
      </c>
      <c r="G6" s="1">
        <v>1.7118151734165934</v>
      </c>
      <c r="H6" s="1">
        <v>1.4620242346684493</v>
      </c>
    </row>
    <row r="7" spans="1:24" x14ac:dyDescent="0.3">
      <c r="A7" s="1">
        <v>1.7612725102655538</v>
      </c>
      <c r="B7" s="1">
        <v>1.6135431683801782</v>
      </c>
      <c r="C7" s="1">
        <v>1.396999922586353</v>
      </c>
      <c r="D7" s="1">
        <v>1.8666806307791082</v>
      </c>
      <c r="E7" s="1">
        <v>1.8772879537990481</v>
      </c>
      <c r="F7" s="1">
        <v>1.6477724562287532</v>
      </c>
      <c r="G7" s="1">
        <v>1.8663956785099205</v>
      </c>
      <c r="H7" s="1">
        <v>1.870968523131403</v>
      </c>
    </row>
    <row r="8" spans="1:24" x14ac:dyDescent="0.3">
      <c r="A8" s="1">
        <v>1.8102704234450344</v>
      </c>
      <c r="B8" s="1">
        <v>1.6222416479620727</v>
      </c>
      <c r="C8" s="1">
        <v>1.8810830783848351</v>
      </c>
      <c r="D8" s="1">
        <v>1.7053300257401129</v>
      </c>
      <c r="E8" s="1">
        <v>1.8543300188837735</v>
      </c>
      <c r="F8" s="1">
        <v>1.6960961875127389</v>
      </c>
      <c r="G8" s="1">
        <v>1.7872157559366306</v>
      </c>
      <c r="H8" s="1">
        <v>1.9040095071402894</v>
      </c>
    </row>
    <row r="9" spans="1:24" x14ac:dyDescent="0.3">
      <c r="A9" s="1">
        <v>1.8798018272187629</v>
      </c>
      <c r="B9" s="1">
        <v>1.5874810403828943</v>
      </c>
      <c r="C9" s="1">
        <v>1.6614255175908821</v>
      </c>
      <c r="D9" s="1">
        <v>1.6794792413216793</v>
      </c>
      <c r="E9" s="1">
        <v>1.3238533183008265</v>
      </c>
      <c r="F9" s="1">
        <v>1.6035221660255055</v>
      </c>
      <c r="G9" s="1">
        <v>1.5341203192670956</v>
      </c>
      <c r="H9" s="1">
        <v>1.7180298454528391</v>
      </c>
    </row>
    <row r="10" spans="1:24" x14ac:dyDescent="0.3">
      <c r="A10" s="1">
        <v>1.8824504660258137</v>
      </c>
      <c r="B10" s="1">
        <v>1.825002384770777</v>
      </c>
      <c r="C10" s="1">
        <v>1.8784870245396925</v>
      </c>
      <c r="D10" s="1">
        <v>1.9210869075090149</v>
      </c>
      <c r="E10" s="1">
        <v>1.8715297841855005</v>
      </c>
      <c r="F10" s="1">
        <v>1.9613290164134611</v>
      </c>
      <c r="G10" s="1">
        <v>1.9066067514126179</v>
      </c>
      <c r="H10" s="1">
        <v>2.0158060361679713</v>
      </c>
    </row>
    <row r="11" spans="1:24" x14ac:dyDescent="0.3">
      <c r="J11" s="37" t="s">
        <v>22</v>
      </c>
      <c r="K11" s="39"/>
      <c r="L11" s="39"/>
      <c r="M11" s="38"/>
      <c r="N11" s="5">
        <f>4.5</f>
        <v>4.5</v>
      </c>
      <c r="Q11" s="40" t="s">
        <v>153</v>
      </c>
      <c r="R11" s="40"/>
      <c r="S11" s="40"/>
      <c r="T11" s="40"/>
      <c r="U11" s="5">
        <f>SUM(L17:L24)</f>
        <v>1685</v>
      </c>
    </row>
    <row r="12" spans="1:24" x14ac:dyDescent="0.3">
      <c r="A12" s="36" t="s">
        <v>149</v>
      </c>
      <c r="B12" s="36"/>
      <c r="J12" s="37" t="s">
        <v>151</v>
      </c>
      <c r="K12" s="39"/>
      <c r="L12" s="39"/>
      <c r="M12" s="38"/>
      <c r="N12" s="3">
        <f>(120/(8*9))*I26</f>
        <v>2.2333333333333316</v>
      </c>
      <c r="Q12" s="40" t="s">
        <v>154</v>
      </c>
      <c r="R12" s="40"/>
      <c r="S12" s="40"/>
      <c r="T12" s="40"/>
      <c r="U12" s="5">
        <v>1703</v>
      </c>
    </row>
    <row r="13" spans="1:24" x14ac:dyDescent="0.3">
      <c r="A13" s="6">
        <f>RANK(A1,$A$1:$H$1,1)</f>
        <v>1</v>
      </c>
      <c r="B13" s="6">
        <f t="shared" ref="B13:H13" si="0">RANK(B1,$A$1:$H$1,1)</f>
        <v>2</v>
      </c>
      <c r="C13" s="6">
        <f t="shared" si="0"/>
        <v>8</v>
      </c>
      <c r="D13" s="6">
        <f t="shared" si="0"/>
        <v>7</v>
      </c>
      <c r="E13" s="6">
        <f t="shared" si="0"/>
        <v>6</v>
      </c>
      <c r="F13" s="6">
        <f t="shared" si="0"/>
        <v>5</v>
      </c>
      <c r="G13" s="6">
        <f t="shared" si="0"/>
        <v>3</v>
      </c>
      <c r="H13" s="6">
        <f t="shared" si="0"/>
        <v>4</v>
      </c>
      <c r="J13" s="42" t="s">
        <v>152</v>
      </c>
      <c r="K13" s="42"/>
      <c r="L13" s="42"/>
      <c r="M13" s="42"/>
      <c r="N13" s="3">
        <f>_xlfn.CHISQ.INV(0.95,7)</f>
        <v>14.067140449340165</v>
      </c>
    </row>
    <row r="14" spans="1:24" x14ac:dyDescent="0.3">
      <c r="A14" s="6">
        <f>RANK(A2,$A$2:$H$2,1)</f>
        <v>1</v>
      </c>
      <c r="B14" s="6">
        <f t="shared" ref="B14:H14" si="1">RANK(B2,$A$2:$H$2,1)</f>
        <v>5</v>
      </c>
      <c r="C14" s="6">
        <f t="shared" si="1"/>
        <v>3</v>
      </c>
      <c r="D14" s="6">
        <f t="shared" si="1"/>
        <v>8</v>
      </c>
      <c r="E14" s="6">
        <f t="shared" si="1"/>
        <v>7</v>
      </c>
      <c r="F14" s="6">
        <f t="shared" si="1"/>
        <v>2</v>
      </c>
      <c r="G14" s="6">
        <f t="shared" si="1"/>
        <v>6</v>
      </c>
      <c r="H14" s="6">
        <f t="shared" si="1"/>
        <v>4</v>
      </c>
      <c r="J14" s="44" t="s">
        <v>145</v>
      </c>
      <c r="K14" s="45"/>
      <c r="L14" s="45"/>
      <c r="M14" s="45"/>
      <c r="N14" s="45"/>
      <c r="O14" s="45"/>
      <c r="P14" s="46"/>
      <c r="R14" s="44" t="s">
        <v>145</v>
      </c>
      <c r="S14" s="45"/>
      <c r="T14" s="45"/>
      <c r="U14" s="45"/>
      <c r="V14" s="45"/>
      <c r="W14" s="45"/>
      <c r="X14" s="46"/>
    </row>
    <row r="15" spans="1:24" x14ac:dyDescent="0.3">
      <c r="A15" s="6">
        <f>RANK(A3,$A$3:$H$3,1)</f>
        <v>5</v>
      </c>
      <c r="B15" s="6">
        <f t="shared" ref="B15:H15" si="2">RANK(B3,$A$3:$H$3,1)</f>
        <v>7</v>
      </c>
      <c r="C15" s="6">
        <f t="shared" si="2"/>
        <v>2</v>
      </c>
      <c r="D15" s="6">
        <f t="shared" si="2"/>
        <v>1</v>
      </c>
      <c r="E15" s="6">
        <f t="shared" si="2"/>
        <v>4</v>
      </c>
      <c r="F15" s="6">
        <f t="shared" si="2"/>
        <v>6</v>
      </c>
      <c r="G15" s="6">
        <f t="shared" si="2"/>
        <v>3</v>
      </c>
      <c r="H15" s="6">
        <f t="shared" si="2"/>
        <v>8</v>
      </c>
    </row>
    <row r="16" spans="1:24" x14ac:dyDescent="0.3">
      <c r="A16" s="6">
        <f>RANK(A4,$A$4:$H$4,1)</f>
        <v>4</v>
      </c>
      <c r="B16" s="6">
        <f t="shared" ref="B16:H16" si="3">RANK(B4,$A$4:$H$4,1)</f>
        <v>8</v>
      </c>
      <c r="C16" s="6">
        <f t="shared" si="3"/>
        <v>5</v>
      </c>
      <c r="D16" s="6">
        <f t="shared" si="3"/>
        <v>2</v>
      </c>
      <c r="E16" s="6">
        <f t="shared" si="3"/>
        <v>3</v>
      </c>
      <c r="F16" s="6">
        <f t="shared" si="3"/>
        <v>7</v>
      </c>
      <c r="G16" s="6">
        <f t="shared" si="3"/>
        <v>6</v>
      </c>
      <c r="H16" s="6">
        <f t="shared" si="3"/>
        <v>1</v>
      </c>
    </row>
    <row r="17" spans="1:12" x14ac:dyDescent="0.3">
      <c r="A17" s="6">
        <f>RANK(A5,$A$5:$H$5,1)</f>
        <v>8</v>
      </c>
      <c r="B17" s="6">
        <f t="shared" ref="B17:H17" si="4">RANK(B5,$A$5:$H$5,1)</f>
        <v>4</v>
      </c>
      <c r="C17" s="6">
        <f t="shared" si="4"/>
        <v>7</v>
      </c>
      <c r="D17" s="6">
        <f t="shared" si="4"/>
        <v>6</v>
      </c>
      <c r="E17" s="6">
        <f t="shared" si="4"/>
        <v>5</v>
      </c>
      <c r="F17" s="6">
        <f t="shared" si="4"/>
        <v>2</v>
      </c>
      <c r="G17" s="6">
        <f t="shared" si="4"/>
        <v>1</v>
      </c>
      <c r="H17" s="6">
        <f t="shared" si="4"/>
        <v>3</v>
      </c>
      <c r="K17" s="3">
        <v>36</v>
      </c>
      <c r="L17" s="3">
        <f>K17*1</f>
        <v>36</v>
      </c>
    </row>
    <row r="18" spans="1:12" x14ac:dyDescent="0.3">
      <c r="A18" s="6">
        <f>RANK(A6,$A$6:$H$6,1)</f>
        <v>6</v>
      </c>
      <c r="B18" s="6">
        <f t="shared" ref="B18:H18" si="5">RANK(B6,$A$6:$H$6,1)</f>
        <v>3</v>
      </c>
      <c r="C18" s="6">
        <f t="shared" si="5"/>
        <v>5</v>
      </c>
      <c r="D18" s="6">
        <f t="shared" si="5"/>
        <v>2</v>
      </c>
      <c r="E18" s="6">
        <f t="shared" si="5"/>
        <v>4</v>
      </c>
      <c r="F18" s="6">
        <f t="shared" si="5"/>
        <v>8</v>
      </c>
      <c r="G18" s="6">
        <f t="shared" si="5"/>
        <v>7</v>
      </c>
      <c r="H18" s="6">
        <f t="shared" si="5"/>
        <v>1</v>
      </c>
      <c r="K18" s="3">
        <v>42</v>
      </c>
      <c r="L18" s="3">
        <f>K18*2</f>
        <v>84</v>
      </c>
    </row>
    <row r="19" spans="1:12" x14ac:dyDescent="0.3">
      <c r="A19" s="6">
        <f>RANK(A7,$A$7:$H$7,1)</f>
        <v>4</v>
      </c>
      <c r="B19" s="6">
        <f t="shared" ref="B19:H19" si="6">RANK(B7,$A$7:$H$7,1)</f>
        <v>2</v>
      </c>
      <c r="C19" s="6">
        <f t="shared" si="6"/>
        <v>1</v>
      </c>
      <c r="D19" s="6">
        <f t="shared" si="6"/>
        <v>6</v>
      </c>
      <c r="E19" s="6">
        <f t="shared" si="6"/>
        <v>8</v>
      </c>
      <c r="F19" s="6">
        <f t="shared" si="6"/>
        <v>3</v>
      </c>
      <c r="G19" s="6">
        <f t="shared" si="6"/>
        <v>5</v>
      </c>
      <c r="H19" s="6">
        <f t="shared" si="6"/>
        <v>7</v>
      </c>
      <c r="K19" s="3">
        <v>46</v>
      </c>
      <c r="L19" s="3">
        <f>K19*3</f>
        <v>138</v>
      </c>
    </row>
    <row r="20" spans="1:12" x14ac:dyDescent="0.3">
      <c r="A20" s="6">
        <f>RANK(A8,$A$8:$H$8,1)</f>
        <v>5</v>
      </c>
      <c r="B20" s="6">
        <f t="shared" ref="B20:H20" si="7">RANK(B8,$A$8:$H$8,1)</f>
        <v>1</v>
      </c>
      <c r="C20" s="6">
        <f t="shared" si="7"/>
        <v>7</v>
      </c>
      <c r="D20" s="6">
        <f t="shared" si="7"/>
        <v>3</v>
      </c>
      <c r="E20" s="6">
        <f t="shared" si="7"/>
        <v>6</v>
      </c>
      <c r="F20" s="6">
        <f t="shared" si="7"/>
        <v>2</v>
      </c>
      <c r="G20" s="6">
        <f t="shared" si="7"/>
        <v>4</v>
      </c>
      <c r="H20" s="6">
        <f t="shared" si="7"/>
        <v>8</v>
      </c>
      <c r="K20" s="3">
        <v>46</v>
      </c>
      <c r="L20" s="3">
        <f>K20*4</f>
        <v>184</v>
      </c>
    </row>
    <row r="21" spans="1:12" x14ac:dyDescent="0.3">
      <c r="A21" s="6">
        <f>RANK(A9,$A$9:$H$9,1)</f>
        <v>8</v>
      </c>
      <c r="B21" s="6">
        <f t="shared" ref="B21:H21" si="8">RANK(B9,$A$9:$H$9,1)</f>
        <v>3</v>
      </c>
      <c r="C21" s="6">
        <f t="shared" si="8"/>
        <v>5</v>
      </c>
      <c r="D21" s="6">
        <f t="shared" si="8"/>
        <v>6</v>
      </c>
      <c r="E21" s="6">
        <f t="shared" si="8"/>
        <v>1</v>
      </c>
      <c r="F21" s="6">
        <f t="shared" si="8"/>
        <v>4</v>
      </c>
      <c r="G21" s="6">
        <f t="shared" si="8"/>
        <v>2</v>
      </c>
      <c r="H21" s="6">
        <f t="shared" si="8"/>
        <v>7</v>
      </c>
      <c r="K21" s="3">
        <v>46</v>
      </c>
      <c r="L21" s="3">
        <f>K21*5</f>
        <v>230</v>
      </c>
    </row>
    <row r="22" spans="1:12" x14ac:dyDescent="0.3">
      <c r="A22" s="6">
        <f>RANK(A10,$A$10:$H$10,1)</f>
        <v>4</v>
      </c>
      <c r="B22" s="6">
        <f>RANK(B10,$A$10:$H$10,1)</f>
        <v>1</v>
      </c>
      <c r="C22" s="6">
        <f t="shared" ref="C22:H22" si="9">RANK(C10,$A$10:$H$10,1)</f>
        <v>3</v>
      </c>
      <c r="D22" s="6">
        <f t="shared" si="9"/>
        <v>6</v>
      </c>
      <c r="E22" s="6">
        <f t="shared" si="9"/>
        <v>2</v>
      </c>
      <c r="F22" s="6">
        <f t="shared" si="9"/>
        <v>7</v>
      </c>
      <c r="G22" s="6">
        <f t="shared" si="9"/>
        <v>5</v>
      </c>
      <c r="H22" s="6">
        <f t="shared" si="9"/>
        <v>8</v>
      </c>
      <c r="K22" s="3">
        <v>46</v>
      </c>
      <c r="L22" s="3">
        <f>K22*6</f>
        <v>276</v>
      </c>
    </row>
    <row r="23" spans="1:12" x14ac:dyDescent="0.3">
      <c r="K23" s="3">
        <v>47</v>
      </c>
      <c r="L23" s="3">
        <f>K23*7</f>
        <v>329</v>
      </c>
    </row>
    <row r="24" spans="1:12" x14ac:dyDescent="0.3">
      <c r="A24" s="5">
        <f>SUM(A13:A22)</f>
        <v>46</v>
      </c>
      <c r="B24" s="5">
        <f t="shared" ref="B24:G24" si="10">SUM(B13:B22)</f>
        <v>36</v>
      </c>
      <c r="C24" s="5">
        <f t="shared" si="10"/>
        <v>46</v>
      </c>
      <c r="D24" s="5">
        <f t="shared" si="10"/>
        <v>47</v>
      </c>
      <c r="E24" s="5">
        <f t="shared" si="10"/>
        <v>46</v>
      </c>
      <c r="F24" s="5">
        <f t="shared" si="10"/>
        <v>46</v>
      </c>
      <c r="G24" s="5">
        <f t="shared" si="10"/>
        <v>42</v>
      </c>
      <c r="H24" s="5">
        <f>SUM(H13:H22)</f>
        <v>51</v>
      </c>
      <c r="I24" s="37" t="s">
        <v>150</v>
      </c>
      <c r="J24" s="38"/>
      <c r="K24" s="3">
        <v>51</v>
      </c>
      <c r="L24" s="3">
        <f>K24*8</f>
        <v>408</v>
      </c>
    </row>
    <row r="25" spans="1:12" x14ac:dyDescent="0.3">
      <c r="A25" s="3">
        <f>AVERAGE(A13:A22)</f>
        <v>4.5999999999999996</v>
      </c>
      <c r="B25" s="3">
        <f t="shared" ref="B25:H25" si="11">AVERAGE(B13:B22)</f>
        <v>3.6</v>
      </c>
      <c r="C25" s="3">
        <f t="shared" si="11"/>
        <v>4.5999999999999996</v>
      </c>
      <c r="D25" s="3">
        <f t="shared" si="11"/>
        <v>4.7</v>
      </c>
      <c r="E25" s="3">
        <f t="shared" si="11"/>
        <v>4.5999999999999996</v>
      </c>
      <c r="F25" s="3">
        <f t="shared" si="11"/>
        <v>4.5999999999999996</v>
      </c>
      <c r="G25" s="3">
        <f t="shared" si="11"/>
        <v>4.2</v>
      </c>
      <c r="H25" s="3">
        <f t="shared" si="11"/>
        <v>5.0999999999999996</v>
      </c>
      <c r="I25" s="40" t="s">
        <v>26</v>
      </c>
      <c r="J25" s="40"/>
    </row>
    <row r="26" spans="1:12" x14ac:dyDescent="0.3">
      <c r="A26" s="3">
        <f t="shared" ref="A26:H26" si="12">(A25-$N$11)^2</f>
        <v>9.9999999999999291E-3</v>
      </c>
      <c r="B26" s="3">
        <f t="shared" si="12"/>
        <v>0.80999999999999983</v>
      </c>
      <c r="C26" s="3">
        <f t="shared" si="12"/>
        <v>9.9999999999999291E-3</v>
      </c>
      <c r="D26" s="3">
        <f t="shared" si="12"/>
        <v>4.000000000000007E-2</v>
      </c>
      <c r="E26" s="3">
        <f t="shared" si="12"/>
        <v>9.9999999999999291E-3</v>
      </c>
      <c r="F26" s="3">
        <f t="shared" si="12"/>
        <v>9.9999999999999291E-3</v>
      </c>
      <c r="G26" s="3">
        <f t="shared" si="12"/>
        <v>8.99999999999999E-2</v>
      </c>
      <c r="H26" s="3">
        <f t="shared" si="12"/>
        <v>0.3599999999999996</v>
      </c>
      <c r="I26" s="47">
        <f>SUM(A26:H26)</f>
        <v>1.339999999999999</v>
      </c>
      <c r="J26" s="47"/>
    </row>
  </sheetData>
  <sortState xmlns:xlrd2="http://schemas.microsoft.com/office/spreadsheetml/2017/richdata2" ref="K17:K24">
    <sortCondition ref="K17"/>
  </sortState>
  <mergeCells count="11">
    <mergeCell ref="I26:J26"/>
    <mergeCell ref="A12:B12"/>
    <mergeCell ref="I24:J24"/>
    <mergeCell ref="I25:J25"/>
    <mergeCell ref="J11:M11"/>
    <mergeCell ref="J12:M12"/>
    <mergeCell ref="Q12:T12"/>
    <mergeCell ref="Q11:T11"/>
    <mergeCell ref="R14:X14"/>
    <mergeCell ref="J13:M13"/>
    <mergeCell ref="J14:P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7</vt:i4>
      </vt:variant>
    </vt:vector>
  </HeadingPairs>
  <TitlesOfParts>
    <vt:vector size="11" baseType="lpstr">
      <vt:lpstr>4.1</vt:lpstr>
      <vt:lpstr>4.2</vt:lpstr>
      <vt:lpstr>4.3</vt:lpstr>
      <vt:lpstr>4.4</vt:lpstr>
      <vt:lpstr>'4.1'!h</vt:lpstr>
      <vt:lpstr>'4.1'!k</vt:lpstr>
      <vt:lpstr>'4.2'!n</vt:lpstr>
      <vt:lpstr>'4.1'!o</vt:lpstr>
      <vt:lpstr>'4.2'!p</vt:lpstr>
      <vt:lpstr>'4.1'!μ</vt:lpstr>
      <vt:lpstr>'4.1'!σ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Andreev</dc:creator>
  <cp:lastModifiedBy>Lion120454#2</cp:lastModifiedBy>
  <dcterms:created xsi:type="dcterms:W3CDTF">2015-06-05T18:19:34Z</dcterms:created>
  <dcterms:modified xsi:type="dcterms:W3CDTF">2025-11-06T12:40:38Z</dcterms:modified>
</cp:coreProperties>
</file>