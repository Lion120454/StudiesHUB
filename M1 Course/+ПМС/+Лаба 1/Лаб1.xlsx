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lashka\ПМС\Лаба 1\"/>
    </mc:Choice>
  </mc:AlternateContent>
  <xr:revisionPtr revIDLastSave="0" documentId="13_ncr:1_{E0EDBDAB-AD5C-4B7E-B565-2A3E01309695}" xr6:coauthVersionLast="45" xr6:coauthVersionMax="45" xr10:uidLastSave="{00000000-0000-0000-0000-000000000000}"/>
  <bookViews>
    <workbookView xWindow="3315" yWindow="3915" windowWidth="18900" windowHeight="10980" xr2:uid="{D26843BC-08D5-4E7B-9F39-78135E3DDFB3}"/>
  </bookViews>
  <sheets>
    <sheet name="Задание 1" sheetId="1" r:id="rId1"/>
    <sheet name="Задание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6" i="1" l="1"/>
  <c r="M3" i="2"/>
  <c r="M4" i="2"/>
  <c r="M5" i="2"/>
  <c r="M6" i="2"/>
  <c r="M7" i="2"/>
  <c r="M8" i="2"/>
  <c r="M9" i="2"/>
  <c r="M2" i="2"/>
  <c r="L3" i="2"/>
  <c r="L4" i="2"/>
  <c r="L5" i="2"/>
  <c r="L6" i="2"/>
  <c r="L7" i="2"/>
  <c r="L8" i="2"/>
  <c r="L9" i="2"/>
  <c r="L2" i="2"/>
  <c r="K2" i="2"/>
  <c r="H78" i="2"/>
  <c r="H74" i="2"/>
  <c r="G77" i="2"/>
  <c r="G76" i="2"/>
  <c r="D2" i="2"/>
  <c r="D3" i="2"/>
  <c r="D14" i="2"/>
  <c r="D10" i="2"/>
  <c r="E70" i="1" l="1"/>
  <c r="D2" i="1"/>
  <c r="E78" i="1" l="1"/>
  <c r="F74" i="1"/>
  <c r="E74" i="1"/>
  <c r="E71" i="1"/>
  <c r="E72" i="1"/>
  <c r="E73" i="1"/>
  <c r="K3" i="2"/>
  <c r="K4" i="2"/>
  <c r="K5" i="2"/>
  <c r="K6" i="2"/>
  <c r="K7" i="2"/>
  <c r="K8" i="2"/>
  <c r="K9" i="2"/>
  <c r="I2" i="1"/>
  <c r="F2" i="1"/>
  <c r="F3" i="1" s="1"/>
  <c r="G2" i="2" a="1"/>
  <c r="G3" i="2" s="1"/>
  <c r="H3" i="2" s="1"/>
  <c r="E2" i="1"/>
  <c r="B42" i="2"/>
  <c r="B35" i="2"/>
  <c r="B32" i="2"/>
  <c r="B63" i="2"/>
  <c r="B89" i="2"/>
  <c r="B9" i="2"/>
  <c r="B101" i="2"/>
  <c r="B7" i="2"/>
  <c r="B97" i="2"/>
  <c r="B73" i="2"/>
  <c r="B82" i="2"/>
  <c r="B55" i="2"/>
  <c r="B67" i="2"/>
  <c r="B40" i="2"/>
  <c r="B72" i="2"/>
  <c r="B69" i="2"/>
  <c r="B14" i="2"/>
  <c r="B15" i="2"/>
  <c r="B45" i="2"/>
  <c r="B54" i="2"/>
  <c r="B68" i="2"/>
  <c r="B48" i="2"/>
  <c r="B78" i="2"/>
  <c r="B12" i="2"/>
  <c r="B30" i="2"/>
  <c r="B31" i="2"/>
  <c r="B84" i="2"/>
  <c r="B53" i="2"/>
  <c r="B96" i="2"/>
  <c r="B66" i="2"/>
  <c r="B19" i="2"/>
  <c r="B47" i="2"/>
  <c r="B70" i="2"/>
  <c r="B23" i="2"/>
  <c r="B4" i="2"/>
  <c r="B37" i="2"/>
  <c r="B24" i="2"/>
  <c r="B44" i="2"/>
  <c r="B26" i="2"/>
  <c r="B29" i="2"/>
  <c r="B39" i="2"/>
  <c r="B10" i="2"/>
  <c r="B21" i="2"/>
  <c r="B62" i="2"/>
  <c r="B59" i="2"/>
  <c r="B76" i="2"/>
  <c r="B20" i="2"/>
  <c r="B49" i="2"/>
  <c r="B74" i="2"/>
  <c r="B51" i="2"/>
  <c r="B81" i="2"/>
  <c r="B87" i="2"/>
  <c r="B58" i="2"/>
  <c r="B65" i="2"/>
  <c r="B100" i="2"/>
  <c r="B33" i="2"/>
  <c r="B11" i="2"/>
  <c r="B91" i="2"/>
  <c r="B43" i="2"/>
  <c r="B60" i="2"/>
  <c r="B94" i="2"/>
  <c r="B6" i="2"/>
  <c r="B41" i="2"/>
  <c r="B52" i="2"/>
  <c r="B3" i="2"/>
  <c r="B95" i="2"/>
  <c r="B8" i="2"/>
  <c r="B5" i="2"/>
  <c r="B56" i="2"/>
  <c r="B79" i="2"/>
  <c r="B25" i="2"/>
  <c r="B13" i="2"/>
  <c r="B17" i="2"/>
  <c r="B77" i="2"/>
  <c r="B83" i="2"/>
  <c r="B88" i="2"/>
  <c r="B16" i="2"/>
  <c r="B85" i="2"/>
  <c r="B27" i="2"/>
  <c r="B18" i="2"/>
  <c r="B46" i="2"/>
  <c r="B75" i="2"/>
  <c r="B99" i="2"/>
  <c r="B86" i="2"/>
  <c r="B80" i="2"/>
  <c r="B36" i="2"/>
  <c r="B28" i="2"/>
  <c r="B64" i="2"/>
  <c r="B22" i="2"/>
  <c r="B90" i="2"/>
  <c r="B50" i="2"/>
  <c r="B98" i="2"/>
  <c r="B38" i="2"/>
  <c r="B57" i="2"/>
  <c r="B34" i="2"/>
  <c r="B93" i="2"/>
  <c r="B61" i="2"/>
  <c r="B71" i="2"/>
  <c r="B92" i="2"/>
  <c r="B2" i="2"/>
  <c r="D9" i="2" l="1"/>
  <c r="D8" i="2" s="1"/>
  <c r="D7" i="2" s="1"/>
  <c r="D6" i="2" s="1"/>
  <c r="D5" i="2" s="1"/>
  <c r="D4" i="2" s="1"/>
  <c r="G74" i="2"/>
  <c r="G79" i="2"/>
  <c r="G75" i="2"/>
  <c r="G78" i="2"/>
  <c r="G71" i="2"/>
  <c r="H75" i="2" s="1"/>
  <c r="H77" i="2" s="1"/>
  <c r="G72" i="2"/>
  <c r="G73" i="2"/>
  <c r="G6" i="2"/>
  <c r="G5" i="2"/>
  <c r="G8" i="2"/>
  <c r="G4" i="2"/>
  <c r="G2" i="2"/>
  <c r="G9" i="2"/>
  <c r="G7" i="2"/>
  <c r="E2" i="2" l="1" a="1"/>
  <c r="H7" i="2"/>
  <c r="H9" i="2"/>
  <c r="H2" i="2"/>
  <c r="I2" i="2" s="1"/>
  <c r="I3" i="2" s="1"/>
  <c r="H4" i="2"/>
  <c r="H8" i="2"/>
  <c r="H5" i="2"/>
  <c r="H6" i="2"/>
  <c r="H76" i="2"/>
  <c r="E77" i="1"/>
  <c r="E76" i="1"/>
  <c r="E75" i="1"/>
  <c r="F75" i="1"/>
  <c r="F73" i="1"/>
  <c r="F72" i="1"/>
  <c r="E5" i="2" l="1"/>
  <c r="E10" i="2"/>
  <c r="E6" i="2"/>
  <c r="E3" i="2"/>
  <c r="E7" i="2"/>
  <c r="E4" i="2"/>
  <c r="E8" i="2"/>
  <c r="E9" i="2"/>
  <c r="E2" i="2"/>
  <c r="I4" i="2"/>
  <c r="I5" i="2" s="1"/>
  <c r="I6" i="2" s="1"/>
  <c r="I7" i="2" s="1"/>
  <c r="I8" i="2" s="1"/>
  <c r="I9" i="2" s="1"/>
  <c r="E69" i="1"/>
  <c r="J11" i="1"/>
  <c r="I11" i="1"/>
  <c r="E11" i="1"/>
  <c r="D11" i="1"/>
  <c r="J10" i="1"/>
  <c r="I10" i="1"/>
  <c r="D10" i="1"/>
  <c r="E10" i="1" s="1"/>
  <c r="J9" i="1"/>
  <c r="I9" i="1"/>
  <c r="D9" i="1"/>
  <c r="E9" i="1" s="1"/>
  <c r="J8" i="1"/>
  <c r="I8" i="1"/>
  <c r="D8" i="1"/>
  <c r="E8" i="1" s="1"/>
  <c r="J7" i="1"/>
  <c r="I7" i="1"/>
  <c r="E7" i="1"/>
  <c r="D7" i="1"/>
  <c r="J6" i="1"/>
  <c r="I6" i="1"/>
  <c r="D6" i="1"/>
  <c r="E6" i="1" s="1"/>
  <c r="J5" i="1"/>
  <c r="I5" i="1"/>
  <c r="D5" i="1"/>
  <c r="E5" i="1" s="1"/>
  <c r="J4" i="1"/>
  <c r="I4" i="1"/>
  <c r="D4" i="1"/>
  <c r="E4" i="1" s="1"/>
  <c r="J3" i="1"/>
  <c r="I3" i="1"/>
  <c r="E3" i="1"/>
  <c r="D3" i="1"/>
  <c r="J2" i="1"/>
  <c r="F4" i="1" l="1"/>
  <c r="F5" i="1" s="1"/>
  <c r="F6" i="1" s="1"/>
  <c r="F7" i="1" s="1"/>
  <c r="F8" i="1" s="1"/>
  <c r="F9" i="1" s="1"/>
  <c r="F10" i="1" s="1"/>
  <c r="F11" i="1" s="1"/>
</calcChain>
</file>

<file path=xl/sharedStrings.xml><?xml version="1.0" encoding="utf-8"?>
<sst xmlns="http://schemas.openxmlformats.org/spreadsheetml/2006/main" count="53" uniqueCount="31">
  <si>
    <t>Выборка</t>
  </si>
  <si>
    <t>Вариационный ряд</t>
  </si>
  <si>
    <t>Накопленые частоты</t>
  </si>
  <si>
    <t>Абсолютные частоты</t>
  </si>
  <si>
    <t>Относительные частоты</t>
  </si>
  <si>
    <t>Варианты</t>
  </si>
  <si>
    <r>
      <t xml:space="preserve">Теоретические </t>
    </r>
    <r>
      <rPr>
        <i/>
        <sz val="11"/>
        <color theme="1"/>
        <rFont val="Calibri"/>
        <family val="2"/>
        <charset val="204"/>
        <scheme val="minor"/>
      </rPr>
      <t>ожидаемые частоты</t>
    </r>
  </si>
  <si>
    <t>Выборочное среднее</t>
  </si>
  <si>
    <t>Математическое ожидание</t>
  </si>
  <si>
    <t>Дисперсия</t>
  </si>
  <si>
    <t>Несмещённая дисперсия</t>
  </si>
  <si>
    <t>Смещённая дисперсия</t>
  </si>
  <si>
    <t>Коэффициент асимметрии</t>
  </si>
  <si>
    <t>Коэффициент эксцесса</t>
  </si>
  <si>
    <t>Коэффициент вариации V</t>
  </si>
  <si>
    <t>Центральный момент 3 порядка</t>
  </si>
  <si>
    <t>Центральный момент 4 порядка</t>
  </si>
  <si>
    <t>Теоритический коэффициент асимметрии</t>
  </si>
  <si>
    <t>Теоритический коэффициент эксцесса</t>
  </si>
  <si>
    <t>Квантиль 25%</t>
  </si>
  <si>
    <t>Квантиль 50%</t>
  </si>
  <si>
    <t>Квантиль 75%</t>
  </si>
  <si>
    <t>Мода</t>
  </si>
  <si>
    <t>Ранд</t>
  </si>
  <si>
    <t>Шаг</t>
  </si>
  <si>
    <t>Корректировка интервалов</t>
  </si>
  <si>
    <t>Теоретические распределение</t>
  </si>
  <si>
    <t>Теоретическая плотность</t>
  </si>
  <si>
    <t>Эмпирическая плотность</t>
  </si>
  <si>
    <t>Теоритическое распределение</t>
  </si>
  <si>
    <t>Медиана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</si>
</sst>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/>
    <xf numFmtId="0" fontId="0" fillId="5" borderId="1" xfId="0" applyFill="1" applyBorder="1" applyAlignment="1"/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1" fillId="7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0" fillId="0" borderId="1" xfId="0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8" borderId="1" xfId="0" applyFill="1" applyBorder="1"/>
    <xf numFmtId="0" fontId="0" fillId="2" borderId="5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ysClr val="windowText" lastClr="000000"/>
                </a:solidFill>
              </a:rPr>
              <a:t>Выборка из биноминальных распределений с параметрами</a:t>
            </a:r>
            <a:r>
              <a:rPr lang="ru-RU" b="1" baseline="0">
                <a:solidFill>
                  <a:sysClr val="windowText" lastClr="000000"/>
                </a:solidFill>
              </a:rPr>
              <a:t> </a:t>
            </a:r>
            <a:r>
              <a:rPr lang="en-US" b="1" baseline="0">
                <a:solidFill>
                  <a:sysClr val="windowText" lastClr="000000"/>
                </a:solidFill>
              </a:rPr>
              <a:t>n=20, p=0,7</a:t>
            </a:r>
          </a:p>
        </c:rich>
      </c:tx>
      <c:layout>
        <c:manualLayout>
          <c:xMode val="edge"/>
          <c:yMode val="edge"/>
          <c:x val="0.1077012248468941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26354184893554966"/>
          <c:w val="0.88386351706036748"/>
          <c:h val="0.5231554389034703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'Задание 1'!$A$2:$A$101</c:f>
              <c:numCache>
                <c:formatCode>General</c:formatCode>
                <c:ptCount val="100"/>
                <c:pt idx="0">
                  <c:v>12</c:v>
                </c:pt>
                <c:pt idx="1">
                  <c:v>15</c:v>
                </c:pt>
                <c:pt idx="2">
                  <c:v>11</c:v>
                </c:pt>
                <c:pt idx="3">
                  <c:v>15</c:v>
                </c:pt>
                <c:pt idx="4">
                  <c:v>14</c:v>
                </c:pt>
                <c:pt idx="5">
                  <c:v>16</c:v>
                </c:pt>
                <c:pt idx="6">
                  <c:v>15</c:v>
                </c:pt>
                <c:pt idx="7">
                  <c:v>14</c:v>
                </c:pt>
                <c:pt idx="8">
                  <c:v>15</c:v>
                </c:pt>
                <c:pt idx="9">
                  <c:v>11</c:v>
                </c:pt>
                <c:pt idx="10">
                  <c:v>14</c:v>
                </c:pt>
                <c:pt idx="11">
                  <c:v>11</c:v>
                </c:pt>
                <c:pt idx="12">
                  <c:v>16</c:v>
                </c:pt>
                <c:pt idx="13">
                  <c:v>11</c:v>
                </c:pt>
                <c:pt idx="14">
                  <c:v>15</c:v>
                </c:pt>
                <c:pt idx="15">
                  <c:v>14</c:v>
                </c:pt>
                <c:pt idx="16">
                  <c:v>14</c:v>
                </c:pt>
                <c:pt idx="17">
                  <c:v>10</c:v>
                </c:pt>
                <c:pt idx="18">
                  <c:v>14</c:v>
                </c:pt>
                <c:pt idx="19">
                  <c:v>14</c:v>
                </c:pt>
                <c:pt idx="20">
                  <c:v>16</c:v>
                </c:pt>
                <c:pt idx="21">
                  <c:v>14</c:v>
                </c:pt>
                <c:pt idx="22">
                  <c:v>14</c:v>
                </c:pt>
                <c:pt idx="23">
                  <c:v>12</c:v>
                </c:pt>
                <c:pt idx="24">
                  <c:v>14</c:v>
                </c:pt>
                <c:pt idx="25">
                  <c:v>14</c:v>
                </c:pt>
                <c:pt idx="26">
                  <c:v>13</c:v>
                </c:pt>
                <c:pt idx="27">
                  <c:v>11</c:v>
                </c:pt>
                <c:pt idx="28">
                  <c:v>15</c:v>
                </c:pt>
                <c:pt idx="29">
                  <c:v>16</c:v>
                </c:pt>
                <c:pt idx="30">
                  <c:v>17</c:v>
                </c:pt>
                <c:pt idx="31">
                  <c:v>9</c:v>
                </c:pt>
                <c:pt idx="32">
                  <c:v>17</c:v>
                </c:pt>
                <c:pt idx="33">
                  <c:v>10</c:v>
                </c:pt>
                <c:pt idx="34">
                  <c:v>10</c:v>
                </c:pt>
                <c:pt idx="35">
                  <c:v>15</c:v>
                </c:pt>
                <c:pt idx="36">
                  <c:v>12</c:v>
                </c:pt>
                <c:pt idx="37">
                  <c:v>15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15</c:v>
                </c:pt>
                <c:pt idx="42">
                  <c:v>14</c:v>
                </c:pt>
                <c:pt idx="43">
                  <c:v>9</c:v>
                </c:pt>
                <c:pt idx="44">
                  <c:v>12</c:v>
                </c:pt>
                <c:pt idx="45">
                  <c:v>16</c:v>
                </c:pt>
                <c:pt idx="46">
                  <c:v>15</c:v>
                </c:pt>
                <c:pt idx="47">
                  <c:v>14</c:v>
                </c:pt>
                <c:pt idx="48">
                  <c:v>16</c:v>
                </c:pt>
                <c:pt idx="49">
                  <c:v>15</c:v>
                </c:pt>
                <c:pt idx="50">
                  <c:v>12</c:v>
                </c:pt>
                <c:pt idx="51">
                  <c:v>14</c:v>
                </c:pt>
                <c:pt idx="52">
                  <c:v>15</c:v>
                </c:pt>
                <c:pt idx="53">
                  <c:v>12</c:v>
                </c:pt>
                <c:pt idx="54">
                  <c:v>15</c:v>
                </c:pt>
                <c:pt idx="55">
                  <c:v>15</c:v>
                </c:pt>
                <c:pt idx="56">
                  <c:v>17</c:v>
                </c:pt>
                <c:pt idx="57">
                  <c:v>15</c:v>
                </c:pt>
                <c:pt idx="58">
                  <c:v>13</c:v>
                </c:pt>
                <c:pt idx="59">
                  <c:v>12</c:v>
                </c:pt>
                <c:pt idx="60">
                  <c:v>12</c:v>
                </c:pt>
                <c:pt idx="61">
                  <c:v>16</c:v>
                </c:pt>
                <c:pt idx="62">
                  <c:v>13</c:v>
                </c:pt>
                <c:pt idx="63">
                  <c:v>12</c:v>
                </c:pt>
                <c:pt idx="64">
                  <c:v>15</c:v>
                </c:pt>
                <c:pt idx="65">
                  <c:v>13</c:v>
                </c:pt>
                <c:pt idx="66">
                  <c:v>12</c:v>
                </c:pt>
                <c:pt idx="67">
                  <c:v>16</c:v>
                </c:pt>
                <c:pt idx="68">
                  <c:v>12</c:v>
                </c:pt>
                <c:pt idx="69">
                  <c:v>10</c:v>
                </c:pt>
                <c:pt idx="70">
                  <c:v>15</c:v>
                </c:pt>
                <c:pt idx="71">
                  <c:v>14</c:v>
                </c:pt>
                <c:pt idx="72">
                  <c:v>12</c:v>
                </c:pt>
                <c:pt idx="73">
                  <c:v>17</c:v>
                </c:pt>
                <c:pt idx="74">
                  <c:v>10</c:v>
                </c:pt>
                <c:pt idx="75">
                  <c:v>16</c:v>
                </c:pt>
                <c:pt idx="76">
                  <c:v>12</c:v>
                </c:pt>
                <c:pt idx="77">
                  <c:v>15</c:v>
                </c:pt>
                <c:pt idx="78">
                  <c:v>14</c:v>
                </c:pt>
                <c:pt idx="79">
                  <c:v>14</c:v>
                </c:pt>
                <c:pt idx="80">
                  <c:v>15</c:v>
                </c:pt>
                <c:pt idx="81">
                  <c:v>14</c:v>
                </c:pt>
                <c:pt idx="82">
                  <c:v>14</c:v>
                </c:pt>
                <c:pt idx="83">
                  <c:v>16</c:v>
                </c:pt>
                <c:pt idx="84">
                  <c:v>14</c:v>
                </c:pt>
                <c:pt idx="85">
                  <c:v>12</c:v>
                </c:pt>
                <c:pt idx="86">
                  <c:v>14</c:v>
                </c:pt>
                <c:pt idx="87">
                  <c:v>15</c:v>
                </c:pt>
                <c:pt idx="88">
                  <c:v>14</c:v>
                </c:pt>
                <c:pt idx="89">
                  <c:v>16</c:v>
                </c:pt>
                <c:pt idx="90">
                  <c:v>16</c:v>
                </c:pt>
                <c:pt idx="91">
                  <c:v>11</c:v>
                </c:pt>
                <c:pt idx="92">
                  <c:v>13</c:v>
                </c:pt>
                <c:pt idx="93">
                  <c:v>17</c:v>
                </c:pt>
                <c:pt idx="94">
                  <c:v>15</c:v>
                </c:pt>
                <c:pt idx="95">
                  <c:v>15</c:v>
                </c:pt>
                <c:pt idx="96">
                  <c:v>14</c:v>
                </c:pt>
                <c:pt idx="97">
                  <c:v>16</c:v>
                </c:pt>
                <c:pt idx="98">
                  <c:v>18</c:v>
                </c:pt>
                <c:pt idx="99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EA-401E-AC28-5F601A8D3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864096"/>
        <c:axId val="216498848"/>
      </c:scatterChart>
      <c:valAx>
        <c:axId val="901864096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6498848"/>
        <c:crosses val="autoZero"/>
        <c:crossBetween val="midCat"/>
      </c:valAx>
      <c:valAx>
        <c:axId val="216498848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1864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>
                <a:solidFill>
                  <a:sysClr val="windowText" lastClr="000000"/>
                </a:solidFill>
              </a:rPr>
              <a:t>Ряд</a:t>
            </a:r>
            <a:r>
              <a:rPr lang="ru-RU" sz="1800" b="1" baseline="0">
                <a:solidFill>
                  <a:sysClr val="windowText" lastClr="000000"/>
                </a:solidFill>
              </a:rPr>
              <a:t> с абсолютными частотами</a:t>
            </a:r>
            <a:endParaRPr lang="ru-RU" sz="18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1'!$C$2:$C$11</c:f>
              <c:numCache>
                <c:formatCode>General</c:formatCode>
                <c:ptCount val="10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</c:numCache>
            </c:numRef>
          </c:xVal>
          <c:yVal>
            <c:numRef>
              <c:f>'Задание 1'!$D$2:$D$11</c:f>
              <c:numCache>
                <c:formatCode>General</c:formatCode>
                <c:ptCount val="10"/>
                <c:pt idx="0">
                  <c:v>2</c:v>
                </c:pt>
                <c:pt idx="1">
                  <c:v>5</c:v>
                </c:pt>
                <c:pt idx="2">
                  <c:v>6</c:v>
                </c:pt>
                <c:pt idx="3">
                  <c:v>14</c:v>
                </c:pt>
                <c:pt idx="4">
                  <c:v>6</c:v>
                </c:pt>
                <c:pt idx="5">
                  <c:v>24</c:v>
                </c:pt>
                <c:pt idx="6">
                  <c:v>23</c:v>
                </c:pt>
                <c:pt idx="7">
                  <c:v>14</c:v>
                </c:pt>
                <c:pt idx="8">
                  <c:v>5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46-40DA-8C70-16B7B19EB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846880"/>
        <c:axId val="345188096"/>
      </c:scatterChart>
      <c:valAx>
        <c:axId val="72984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5188096"/>
        <c:crosses val="autoZero"/>
        <c:crossBetween val="midCat"/>
      </c:valAx>
      <c:valAx>
        <c:axId val="34518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9846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>
                <a:solidFill>
                  <a:sysClr val="windowText" lastClr="000000"/>
                </a:solidFill>
              </a:rPr>
              <a:t>Ряд с</a:t>
            </a:r>
            <a:r>
              <a:rPr lang="ru-RU" sz="1800" b="1" baseline="0">
                <a:solidFill>
                  <a:sysClr val="windowText" lastClr="000000"/>
                </a:solidFill>
              </a:rPr>
              <a:t> относительными частотами</a:t>
            </a:r>
            <a:endParaRPr lang="ru-RU" sz="18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'Задание 1'!$C$2:$C$11</c:f>
              <c:numCache>
                <c:formatCode>General</c:formatCode>
                <c:ptCount val="10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</c:numCache>
            </c:numRef>
          </c:xVal>
          <c:yVal>
            <c:numRef>
              <c:f>'Задание 1'!$E$2:$E$11</c:f>
              <c:numCache>
                <c:formatCode>General</c:formatCode>
                <c:ptCount val="10"/>
                <c:pt idx="0">
                  <c:v>0.02</c:v>
                </c:pt>
                <c:pt idx="1">
                  <c:v>0.05</c:v>
                </c:pt>
                <c:pt idx="2">
                  <c:v>0.06</c:v>
                </c:pt>
                <c:pt idx="3">
                  <c:v>0.14000000000000001</c:v>
                </c:pt>
                <c:pt idx="4">
                  <c:v>0.06</c:v>
                </c:pt>
                <c:pt idx="5">
                  <c:v>0.24</c:v>
                </c:pt>
                <c:pt idx="6">
                  <c:v>0.23</c:v>
                </c:pt>
                <c:pt idx="7">
                  <c:v>0.14000000000000001</c:v>
                </c:pt>
                <c:pt idx="8">
                  <c:v>0.05</c:v>
                </c:pt>
                <c:pt idx="9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AF-4A93-B6FC-1373076404C6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1'!$C$2:$C$11</c:f>
              <c:numCache>
                <c:formatCode>General</c:formatCode>
                <c:ptCount val="10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</c:numCache>
            </c:numRef>
          </c:xVal>
          <c:yVal>
            <c:numRef>
              <c:f>'Задание 1'!$E$2:$E$11</c:f>
              <c:numCache>
                <c:formatCode>General</c:formatCode>
                <c:ptCount val="10"/>
                <c:pt idx="0">
                  <c:v>0.02</c:v>
                </c:pt>
                <c:pt idx="1">
                  <c:v>0.05</c:v>
                </c:pt>
                <c:pt idx="2">
                  <c:v>0.06</c:v>
                </c:pt>
                <c:pt idx="3">
                  <c:v>0.14000000000000001</c:v>
                </c:pt>
                <c:pt idx="4">
                  <c:v>0.06</c:v>
                </c:pt>
                <c:pt idx="5">
                  <c:v>0.24</c:v>
                </c:pt>
                <c:pt idx="6">
                  <c:v>0.23</c:v>
                </c:pt>
                <c:pt idx="7">
                  <c:v>0.14000000000000001</c:v>
                </c:pt>
                <c:pt idx="8">
                  <c:v>0.05</c:v>
                </c:pt>
                <c:pt idx="9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AF-4A93-B6FC-137307640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3046896"/>
        <c:axId val="356276960"/>
      </c:scatterChart>
      <c:valAx>
        <c:axId val="97304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6276960"/>
        <c:crosses val="autoZero"/>
        <c:crossBetween val="midCat"/>
      </c:valAx>
      <c:valAx>
        <c:axId val="3562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3046896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2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solidFill>
                  <a:sysClr val="windowText" lastClr="000000"/>
                </a:solidFill>
                <a:effectLst/>
              </a:rPr>
              <a:t>Ряд с накопительнными частотами</a:t>
            </a:r>
            <a:endParaRPr lang="ru-RU">
              <a:solidFill>
                <a:sysClr val="windowText" lastClr="00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1'!$C$2:$C$11</c:f>
              <c:numCache>
                <c:formatCode>General</c:formatCode>
                <c:ptCount val="10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</c:numCache>
            </c:numRef>
          </c:xVal>
          <c:yVal>
            <c:numRef>
              <c:f>'Задание 1'!$F$2:$F$11</c:f>
              <c:numCache>
                <c:formatCode>General</c:formatCode>
                <c:ptCount val="10"/>
                <c:pt idx="0">
                  <c:v>0.02</c:v>
                </c:pt>
                <c:pt idx="1">
                  <c:v>7.0000000000000007E-2</c:v>
                </c:pt>
                <c:pt idx="2">
                  <c:v>0.13</c:v>
                </c:pt>
                <c:pt idx="3">
                  <c:v>0.27</c:v>
                </c:pt>
                <c:pt idx="4">
                  <c:v>0.33</c:v>
                </c:pt>
                <c:pt idx="5">
                  <c:v>0.57000000000000006</c:v>
                </c:pt>
                <c:pt idx="6">
                  <c:v>0.8</c:v>
                </c:pt>
                <c:pt idx="7">
                  <c:v>0.94000000000000006</c:v>
                </c:pt>
                <c:pt idx="8">
                  <c:v>0.9900000000000001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BE-4E7F-8681-233128E1B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853680"/>
        <c:axId val="345191008"/>
      </c:scatterChart>
      <c:valAx>
        <c:axId val="729853680"/>
        <c:scaling>
          <c:orientation val="minMax"/>
          <c:max val="19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5191008"/>
        <c:crosses val="autoZero"/>
        <c:crossBetween val="midCat"/>
      </c:valAx>
      <c:valAx>
        <c:axId val="34519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98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ysClr val="windowText" lastClr="000000"/>
                </a:solidFill>
              </a:rPr>
              <a:t>СРавнение распределений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5483814523184598E-2"/>
          <c:y val="0.12454218152048319"/>
          <c:w val="0.87129396325459318"/>
          <c:h val="0.77583151265491279"/>
        </c:manualLayout>
      </c:layout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'Задание 1'!$C$2:$C$11</c:f>
              <c:numCache>
                <c:formatCode>General</c:formatCode>
                <c:ptCount val="10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</c:numCache>
            </c:numRef>
          </c:xVal>
          <c:yVal>
            <c:numRef>
              <c:f>'Задание 1'!$E$2:$E$11</c:f>
              <c:numCache>
                <c:formatCode>General</c:formatCode>
                <c:ptCount val="10"/>
                <c:pt idx="0">
                  <c:v>0.02</c:v>
                </c:pt>
                <c:pt idx="1">
                  <c:v>0.05</c:v>
                </c:pt>
                <c:pt idx="2">
                  <c:v>0.06</c:v>
                </c:pt>
                <c:pt idx="3">
                  <c:v>0.14000000000000001</c:v>
                </c:pt>
                <c:pt idx="4">
                  <c:v>0.06</c:v>
                </c:pt>
                <c:pt idx="5">
                  <c:v>0.24</c:v>
                </c:pt>
                <c:pt idx="6">
                  <c:v>0.23</c:v>
                </c:pt>
                <c:pt idx="7">
                  <c:v>0.14000000000000001</c:v>
                </c:pt>
                <c:pt idx="8">
                  <c:v>0.05</c:v>
                </c:pt>
                <c:pt idx="9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B2-444A-A4F9-81ED868E1C76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'Задание 1'!$C$2:$C$11</c:f>
              <c:numCache>
                <c:formatCode>General</c:formatCode>
                <c:ptCount val="10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</c:numCache>
            </c:numRef>
          </c:xVal>
          <c:yVal>
            <c:numRef>
              <c:f>'Задание 1'!$I$2:$I$11</c:f>
              <c:numCache>
                <c:formatCode>General</c:formatCode>
                <c:ptCount val="10"/>
                <c:pt idx="0">
                  <c:v>1.2006654896137036E-2</c:v>
                </c:pt>
                <c:pt idx="1">
                  <c:v>3.0817080900085028E-2</c:v>
                </c:pt>
                <c:pt idx="2">
                  <c:v>6.5369565545634972E-2</c:v>
                </c:pt>
                <c:pt idx="3">
                  <c:v>0.11439673970486115</c:v>
                </c:pt>
                <c:pt idx="4">
                  <c:v>0.16426198521723651</c:v>
                </c:pt>
                <c:pt idx="5">
                  <c:v>0.1916389827534426</c:v>
                </c:pt>
                <c:pt idx="6">
                  <c:v>0.17886305056987969</c:v>
                </c:pt>
                <c:pt idx="7">
                  <c:v>0.13042097437387062</c:v>
                </c:pt>
                <c:pt idx="8">
                  <c:v>7.1603672205262273E-2</c:v>
                </c:pt>
                <c:pt idx="9">
                  <c:v>2.7845872524268681E-2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DB2-444A-A4F9-81ED868E1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0909456"/>
        <c:axId val="354491872"/>
      </c:scatterChart>
      <c:valAx>
        <c:axId val="1050909456"/>
        <c:scaling>
          <c:orientation val="minMax"/>
          <c:max val="19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4491872"/>
        <c:crosses val="autoZero"/>
        <c:crossBetween val="midCat"/>
      </c:valAx>
      <c:valAx>
        <c:axId val="35449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0909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/>
      </a:solidFill>
      <a:round/>
    </a:ln>
    <a:effectLst/>
  </c:spPr>
  <c:txPr>
    <a:bodyPr anchor="t" anchorCtr="0"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solidFill>
                  <a:sysClr val="windowText" lastClr="000000"/>
                </a:solidFill>
                <a:effectLst/>
              </a:rPr>
              <a:t>Сравнение распределений</a:t>
            </a:r>
            <a:endParaRPr lang="ru-RU">
              <a:solidFill>
                <a:sysClr val="windowText" lastClr="00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1'!$C$2:$C$11</c:f>
              <c:numCache>
                <c:formatCode>General</c:formatCode>
                <c:ptCount val="10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</c:numCache>
            </c:numRef>
          </c:xVal>
          <c:yVal>
            <c:numRef>
              <c:f>'Задание 1'!$F$2:$F$11</c:f>
              <c:numCache>
                <c:formatCode>General</c:formatCode>
                <c:ptCount val="10"/>
                <c:pt idx="0">
                  <c:v>0.02</c:v>
                </c:pt>
                <c:pt idx="1">
                  <c:v>7.0000000000000007E-2</c:v>
                </c:pt>
                <c:pt idx="2">
                  <c:v>0.13</c:v>
                </c:pt>
                <c:pt idx="3">
                  <c:v>0.27</c:v>
                </c:pt>
                <c:pt idx="4">
                  <c:v>0.33</c:v>
                </c:pt>
                <c:pt idx="5">
                  <c:v>0.57000000000000006</c:v>
                </c:pt>
                <c:pt idx="6">
                  <c:v>0.8</c:v>
                </c:pt>
                <c:pt idx="7">
                  <c:v>0.94000000000000006</c:v>
                </c:pt>
                <c:pt idx="8">
                  <c:v>0.9900000000000001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BE-4E7F-8681-233128E1B6C6}"/>
            </c:ext>
          </c:extLst>
        </c:ser>
        <c:ser>
          <c:idx val="1"/>
          <c:order val="1"/>
          <c:tx>
            <c:v>Теор. бином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'Задание 1'!$C$2:$C$11</c:f>
              <c:numCache>
                <c:formatCode>General</c:formatCode>
                <c:ptCount val="10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</c:numCache>
            </c:numRef>
          </c:xVal>
          <c:yVal>
            <c:numRef>
              <c:f>'Задание 1'!$J$2:$J$11</c:f>
              <c:numCache>
                <c:formatCode>General</c:formatCode>
                <c:ptCount val="10"/>
                <c:pt idx="0">
                  <c:v>1.7144816431258449E-2</c:v>
                </c:pt>
                <c:pt idx="1">
                  <c:v>4.7961897331343491E-2</c:v>
                </c:pt>
                <c:pt idx="2">
                  <c:v>0.11333146287697846</c:v>
                </c:pt>
                <c:pt idx="3">
                  <c:v>0.22772820258183946</c:v>
                </c:pt>
                <c:pt idx="4">
                  <c:v>0.39199018779907613</c:v>
                </c:pt>
                <c:pt idx="5">
                  <c:v>0.58362917055251895</c:v>
                </c:pt>
                <c:pt idx="6">
                  <c:v>0.76249222112239856</c:v>
                </c:pt>
                <c:pt idx="7">
                  <c:v>0.89291319549626902</c:v>
                </c:pt>
                <c:pt idx="8">
                  <c:v>0.96451686770153133</c:v>
                </c:pt>
                <c:pt idx="9">
                  <c:v>0.99236274022579996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7B-4AAA-992B-806B07139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853680"/>
        <c:axId val="345191008"/>
      </c:scatterChart>
      <c:valAx>
        <c:axId val="729853680"/>
        <c:scaling>
          <c:orientation val="minMax"/>
          <c:max val="19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5191008"/>
        <c:crosses val="autoZero"/>
        <c:crossBetween val="midCat"/>
      </c:valAx>
      <c:valAx>
        <c:axId val="34519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98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 baseline="0">
                <a:solidFill>
                  <a:sysClr val="windowText" lastClr="000000"/>
                </a:solidFill>
              </a:rPr>
              <a:t>Выборка </a:t>
            </a:r>
            <a:r>
              <a:rPr lang="en-US" b="1" baseline="0">
                <a:solidFill>
                  <a:sysClr val="windowText" lastClr="000000"/>
                </a:solidFill>
              </a:rPr>
              <a:t>X^2 c </a:t>
            </a:r>
            <a:r>
              <a:rPr lang="ru-RU" b="1" baseline="0">
                <a:solidFill>
                  <a:sysClr val="windowText" lastClr="000000"/>
                </a:solidFill>
              </a:rPr>
              <a:t>одной степенью свободы</a:t>
            </a:r>
            <a:endParaRPr lang="en-US" b="1" baseline="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077012248468941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26354184893554966"/>
          <c:w val="0.88386351706036748"/>
          <c:h val="0.5231554389034703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'Задание 2'!$B$2:$B$101</c:f>
              <c:numCache>
                <c:formatCode>General</c:formatCode>
                <c:ptCount val="100"/>
                <c:pt idx="0">
                  <c:v>1.7170825232419666</c:v>
                </c:pt>
                <c:pt idx="1">
                  <c:v>2.616975476348711E-2</c:v>
                </c:pt>
                <c:pt idx="2">
                  <c:v>1.7105893442322302E-3</c:v>
                </c:pt>
                <c:pt idx="3">
                  <c:v>1.1003099892630528</c:v>
                </c:pt>
                <c:pt idx="4">
                  <c:v>0.79203468077985717</c:v>
                </c:pt>
                <c:pt idx="5">
                  <c:v>5.5468822765631781E-2</c:v>
                </c:pt>
                <c:pt idx="6">
                  <c:v>1.6938090140863601E-2</c:v>
                </c:pt>
                <c:pt idx="7">
                  <c:v>0.64725741365643441</c:v>
                </c:pt>
                <c:pt idx="8">
                  <c:v>0.64742937680783452</c:v>
                </c:pt>
                <c:pt idx="9">
                  <c:v>5.4546795981314421E-2</c:v>
                </c:pt>
                <c:pt idx="10">
                  <c:v>1.2647695985545708</c:v>
                </c:pt>
                <c:pt idx="11">
                  <c:v>0.73392458712465347</c:v>
                </c:pt>
                <c:pt idx="12">
                  <c:v>3.2502204468199216</c:v>
                </c:pt>
                <c:pt idx="13">
                  <c:v>0.43765812882436467</c:v>
                </c:pt>
                <c:pt idx="14">
                  <c:v>5.1259252817310016E-2</c:v>
                </c:pt>
                <c:pt idx="15">
                  <c:v>8.7819502520297788E-5</c:v>
                </c:pt>
                <c:pt idx="16">
                  <c:v>2.8276447285365216</c:v>
                </c:pt>
                <c:pt idx="17">
                  <c:v>0.70528716021368221</c:v>
                </c:pt>
                <c:pt idx="18">
                  <c:v>1.1353830121221113</c:v>
                </c:pt>
                <c:pt idx="19">
                  <c:v>0.1599202282623334</c:v>
                </c:pt>
                <c:pt idx="20">
                  <c:v>4.6309121032625626E-2</c:v>
                </c:pt>
                <c:pt idx="21">
                  <c:v>7.4687159261585007E-2</c:v>
                </c:pt>
                <c:pt idx="22">
                  <c:v>0.51886061975246234</c:v>
                </c:pt>
                <c:pt idx="23">
                  <c:v>0.10798123499968991</c:v>
                </c:pt>
                <c:pt idx="24">
                  <c:v>1.8261713096083538</c:v>
                </c:pt>
                <c:pt idx="25">
                  <c:v>2.3652749347135358E-3</c:v>
                </c:pt>
                <c:pt idx="26">
                  <c:v>1.4008616758138652</c:v>
                </c:pt>
                <c:pt idx="27">
                  <c:v>0.55733295664164895</c:v>
                </c:pt>
                <c:pt idx="28">
                  <c:v>2.2592660618917506</c:v>
                </c:pt>
                <c:pt idx="29">
                  <c:v>2.924909141035779</c:v>
                </c:pt>
                <c:pt idx="30">
                  <c:v>0.50570496643035046</c:v>
                </c:pt>
                <c:pt idx="31">
                  <c:v>3.7359711834426155E-3</c:v>
                </c:pt>
                <c:pt idx="32">
                  <c:v>0.60795093014105406</c:v>
                </c:pt>
                <c:pt idx="33">
                  <c:v>1.1533676010364922</c:v>
                </c:pt>
                <c:pt idx="34">
                  <c:v>1.4871260582995034</c:v>
                </c:pt>
                <c:pt idx="35">
                  <c:v>7.5374247962581391</c:v>
                </c:pt>
                <c:pt idx="36">
                  <c:v>0.12902655003759708</c:v>
                </c:pt>
                <c:pt idx="37">
                  <c:v>8.3871548592883594E-2</c:v>
                </c:pt>
                <c:pt idx="38">
                  <c:v>2.1885234424419795</c:v>
                </c:pt>
                <c:pt idx="39">
                  <c:v>0.77559862349573738</c:v>
                </c:pt>
                <c:pt idx="40">
                  <c:v>2.7097766871620532</c:v>
                </c:pt>
                <c:pt idx="41">
                  <c:v>1.8960350444253697</c:v>
                </c:pt>
                <c:pt idx="42">
                  <c:v>0.7396195544415437</c:v>
                </c:pt>
                <c:pt idx="43">
                  <c:v>2.9480531929048332E-2</c:v>
                </c:pt>
                <c:pt idx="44">
                  <c:v>1.6484973475546107</c:v>
                </c:pt>
                <c:pt idx="45">
                  <c:v>0.70437089059479596</c:v>
                </c:pt>
                <c:pt idx="46">
                  <c:v>0.12023357132250224</c:v>
                </c:pt>
                <c:pt idx="47">
                  <c:v>0.23845551809634094</c:v>
                </c:pt>
                <c:pt idx="48">
                  <c:v>1.2840410814462395</c:v>
                </c:pt>
                <c:pt idx="49">
                  <c:v>0.40756242958071875</c:v>
                </c:pt>
                <c:pt idx="50">
                  <c:v>2.2041587839106773</c:v>
                </c:pt>
                <c:pt idx="51">
                  <c:v>0.61509871423979601</c:v>
                </c:pt>
                <c:pt idx="52">
                  <c:v>2.4892391835789232</c:v>
                </c:pt>
                <c:pt idx="53">
                  <c:v>1.9459013735432449</c:v>
                </c:pt>
                <c:pt idx="54">
                  <c:v>0.20461510441153677</c:v>
                </c:pt>
                <c:pt idx="55">
                  <c:v>2.3802269416061195E-3</c:v>
                </c:pt>
                <c:pt idx="56">
                  <c:v>2.3458904723608582</c:v>
                </c:pt>
                <c:pt idx="57">
                  <c:v>1.487725037234564E-2</c:v>
                </c:pt>
                <c:pt idx="58">
                  <c:v>0.75693542329830532</c:v>
                </c:pt>
                <c:pt idx="59">
                  <c:v>2.315178288703605</c:v>
                </c:pt>
                <c:pt idx="60">
                  <c:v>0.57058644989473994</c:v>
                </c:pt>
                <c:pt idx="61">
                  <c:v>0.13430324315350181</c:v>
                </c:pt>
                <c:pt idx="62">
                  <c:v>0.60682037154177981</c:v>
                </c:pt>
                <c:pt idx="63">
                  <c:v>1.4281795641577319E-2</c:v>
                </c:pt>
                <c:pt idx="64">
                  <c:v>1.3924993358456259</c:v>
                </c:pt>
                <c:pt idx="65">
                  <c:v>0.19124208048902383</c:v>
                </c:pt>
                <c:pt idx="66">
                  <c:v>0.86711188126531169</c:v>
                </c:pt>
                <c:pt idx="67">
                  <c:v>0.39266860910566292</c:v>
                </c:pt>
                <c:pt idx="68">
                  <c:v>7.6501061556846617</c:v>
                </c:pt>
                <c:pt idx="69">
                  <c:v>0.76552922862650297</c:v>
                </c:pt>
                <c:pt idx="70">
                  <c:v>0.88710707530579935</c:v>
                </c:pt>
                <c:pt idx="71">
                  <c:v>1.0252738579589694E-3</c:v>
                </c:pt>
                <c:pt idx="72">
                  <c:v>0.13203640841018102</c:v>
                </c:pt>
                <c:pt idx="73">
                  <c:v>2.0350233323532113E-2</c:v>
                </c:pt>
                <c:pt idx="74">
                  <c:v>0.36081958233409173</c:v>
                </c:pt>
                <c:pt idx="75">
                  <c:v>1.2490110671193477</c:v>
                </c:pt>
                <c:pt idx="76">
                  <c:v>0.81894183165998247</c:v>
                </c:pt>
                <c:pt idx="77">
                  <c:v>0.2615936880249386</c:v>
                </c:pt>
                <c:pt idx="78">
                  <c:v>2.8564853475466396</c:v>
                </c:pt>
                <c:pt idx="79">
                  <c:v>0.85228290014390207</c:v>
                </c:pt>
                <c:pt idx="80">
                  <c:v>0.76161116738308454</c:v>
                </c:pt>
                <c:pt idx="81">
                  <c:v>1.182149115949741E-2</c:v>
                </c:pt>
                <c:pt idx="82">
                  <c:v>2.3504338806584415</c:v>
                </c:pt>
                <c:pt idx="83">
                  <c:v>3.7197150258842759</c:v>
                </c:pt>
                <c:pt idx="84">
                  <c:v>4.2036697084327487E-2</c:v>
                </c:pt>
                <c:pt idx="85">
                  <c:v>3.2885370364306605</c:v>
                </c:pt>
                <c:pt idx="86">
                  <c:v>2.2324834108393299</c:v>
                </c:pt>
                <c:pt idx="87">
                  <c:v>2.4883926414599649</c:v>
                </c:pt>
                <c:pt idx="88">
                  <c:v>1.8925462746583841E-3</c:v>
                </c:pt>
                <c:pt idx="89">
                  <c:v>0.37272901894857485</c:v>
                </c:pt>
                <c:pt idx="90">
                  <c:v>1.0418906541565258</c:v>
                </c:pt>
                <c:pt idx="91">
                  <c:v>5.7980303769667126E-2</c:v>
                </c:pt>
                <c:pt idx="92">
                  <c:v>7.132707938315634</c:v>
                </c:pt>
                <c:pt idx="93">
                  <c:v>1.7936613374600806E-2</c:v>
                </c:pt>
                <c:pt idx="94">
                  <c:v>5.7639824996220783</c:v>
                </c:pt>
                <c:pt idx="95">
                  <c:v>9.0910269651643446E-3</c:v>
                </c:pt>
                <c:pt idx="96">
                  <c:v>0.49252514160990235</c:v>
                </c:pt>
                <c:pt idx="97">
                  <c:v>0.86206741554433475</c:v>
                </c:pt>
                <c:pt idx="98">
                  <c:v>0.15754501328043705</c:v>
                </c:pt>
                <c:pt idx="99">
                  <c:v>2.4179102163040839E-2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6D-4288-885E-D5F474055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864096"/>
        <c:axId val="216498848"/>
      </c:scatterChart>
      <c:valAx>
        <c:axId val="901864096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6498848"/>
        <c:crosses val="autoZero"/>
        <c:crossBetween val="midCat"/>
      </c:valAx>
      <c:valAx>
        <c:axId val="216498848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1864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ysClr val="windowText" lastClr="000000"/>
                </a:solidFill>
              </a:rPr>
              <a:t>Ряд абсолютных частот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  <c:invertIfNegative val="0"/>
          <c:cat>
            <c:numRef>
              <c:f>'Задание 2'!$F$2:$F$9</c:f>
              <c:numCache>
                <c:formatCode>0.00</c:formatCode>
                <c:ptCount val="8"/>
                <c:pt idx="0">
                  <c:v>1.7000918942096637</c:v>
                </c:pt>
                <c:pt idx="1">
                  <c:v>2.5500939315632349</c:v>
                </c:pt>
                <c:pt idx="2">
                  <c:v>3.4000959689168062</c:v>
                </c:pt>
                <c:pt idx="3">
                  <c:v>4.2500980062703775</c:v>
                </c:pt>
                <c:pt idx="4">
                  <c:v>5.1001000436239483</c:v>
                </c:pt>
                <c:pt idx="5">
                  <c:v>5.9501020809775191</c:v>
                </c:pt>
                <c:pt idx="6">
                  <c:v>6.80010411833109</c:v>
                </c:pt>
                <c:pt idx="7">
                  <c:v>7.6501061556846617</c:v>
                </c:pt>
              </c:numCache>
            </c:numRef>
          </c:cat>
          <c:val>
            <c:numRef>
              <c:f>'Задание 2'!$G$2:$G$9</c:f>
              <c:numCache>
                <c:formatCode>General</c:formatCode>
                <c:ptCount val="8"/>
                <c:pt idx="0">
                  <c:v>76</c:v>
                </c:pt>
                <c:pt idx="1">
                  <c:v>13</c:v>
                </c:pt>
                <c:pt idx="2">
                  <c:v>6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FD-4C57-BEDA-A47B13614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29558047"/>
        <c:axId val="31867974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gradFill rotWithShape="1">
                    <a:gsLst>
                      <a:gs pos="0">
                        <a:schemeClr val="accent1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1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1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1"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'Задание 2'!$F$2:$F$9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1.7000918942096637</c:v>
                      </c:pt>
                      <c:pt idx="1">
                        <c:v>2.5500939315632349</c:v>
                      </c:pt>
                      <c:pt idx="2">
                        <c:v>3.4000959689168062</c:v>
                      </c:pt>
                      <c:pt idx="3">
                        <c:v>4.2500980062703775</c:v>
                      </c:pt>
                      <c:pt idx="4">
                        <c:v>5.1001000436239483</c:v>
                      </c:pt>
                      <c:pt idx="5">
                        <c:v>5.9501020809775191</c:v>
                      </c:pt>
                      <c:pt idx="6">
                        <c:v>6.80010411833109</c:v>
                      </c:pt>
                      <c:pt idx="7">
                        <c:v>7.6501061556846617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'Задание 2'!$D$2:$D$10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0.8500898568560924</c:v>
                      </c:pt>
                      <c:pt idx="1">
                        <c:v>1.7000918942096637</c:v>
                      </c:pt>
                      <c:pt idx="2">
                        <c:v>2.5500939315632349</c:v>
                      </c:pt>
                      <c:pt idx="3">
                        <c:v>3.4000959689168062</c:v>
                      </c:pt>
                      <c:pt idx="4">
                        <c:v>4.2500980062703775</c:v>
                      </c:pt>
                      <c:pt idx="5">
                        <c:v>5.1001000436239483</c:v>
                      </c:pt>
                      <c:pt idx="6">
                        <c:v>5.9501020809775191</c:v>
                      </c:pt>
                      <c:pt idx="7">
                        <c:v>6.80010411833109</c:v>
                      </c:pt>
                      <c:pt idx="8">
                        <c:v>7.6501061556846617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FFD-4C57-BEDA-A47B13614CCD}"/>
                  </c:ext>
                </c:extLst>
              </c15:ser>
            </c15:filteredBarSeries>
          </c:ext>
        </c:extLst>
      </c:barChart>
      <c:catAx>
        <c:axId val="229558047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8679743"/>
        <c:crosses val="autoZero"/>
        <c:auto val="1"/>
        <c:lblAlgn val="ctr"/>
        <c:lblOffset val="100"/>
        <c:noMultiLvlLbl val="0"/>
      </c:catAx>
      <c:valAx>
        <c:axId val="31867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9558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ysClr val="windowText" lastClr="000000"/>
                </a:solidFill>
              </a:rPr>
              <a:t>Ряд с относительными частотами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1"/>
            </a:solidFill>
            <a:ln w="9525" cap="flat" cmpd="sng" algn="ctr">
              <a:solidFill>
                <a:schemeClr val="bg1"/>
              </a:solidFill>
              <a:round/>
            </a:ln>
            <a:effectLst/>
          </c:spPr>
          <c:invertIfNegative val="0"/>
          <c:cat>
            <c:numRef>
              <c:f>'Задание 2'!$F$2:$F$9</c:f>
              <c:numCache>
                <c:formatCode>0.00</c:formatCode>
                <c:ptCount val="8"/>
                <c:pt idx="0">
                  <c:v>1.7000918942096637</c:v>
                </c:pt>
                <c:pt idx="1">
                  <c:v>2.5500939315632349</c:v>
                </c:pt>
                <c:pt idx="2">
                  <c:v>3.4000959689168062</c:v>
                </c:pt>
                <c:pt idx="3">
                  <c:v>4.2500980062703775</c:v>
                </c:pt>
                <c:pt idx="4">
                  <c:v>5.1001000436239483</c:v>
                </c:pt>
                <c:pt idx="5">
                  <c:v>5.9501020809775191</c:v>
                </c:pt>
                <c:pt idx="6">
                  <c:v>6.80010411833109</c:v>
                </c:pt>
                <c:pt idx="7">
                  <c:v>7.6501061556846617</c:v>
                </c:pt>
              </c:numCache>
            </c:numRef>
          </c:cat>
          <c:val>
            <c:numRef>
              <c:f>'Задание 2'!$H$2:$H$9</c:f>
              <c:numCache>
                <c:formatCode>0.00</c:formatCode>
                <c:ptCount val="8"/>
                <c:pt idx="0">
                  <c:v>0.76</c:v>
                </c:pt>
                <c:pt idx="1">
                  <c:v>0.13</c:v>
                </c:pt>
                <c:pt idx="2">
                  <c:v>0.06</c:v>
                </c:pt>
                <c:pt idx="3">
                  <c:v>0.01</c:v>
                </c:pt>
                <c:pt idx="4">
                  <c:v>0</c:v>
                </c:pt>
                <c:pt idx="5">
                  <c:v>0.01</c:v>
                </c:pt>
                <c:pt idx="6">
                  <c:v>0</c:v>
                </c:pt>
                <c:pt idx="7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82-415A-930B-93D04A711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42934607"/>
        <c:axId val="841222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gradFill rotWithShape="1">
                    <a:gsLst>
                      <a:gs pos="0">
                        <a:schemeClr val="accent1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1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1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1"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'Задание 2'!$F$2:$F$9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1.7000918942096637</c:v>
                      </c:pt>
                      <c:pt idx="1">
                        <c:v>2.5500939315632349</c:v>
                      </c:pt>
                      <c:pt idx="2">
                        <c:v>3.4000959689168062</c:v>
                      </c:pt>
                      <c:pt idx="3">
                        <c:v>4.2500980062703775</c:v>
                      </c:pt>
                      <c:pt idx="4">
                        <c:v>5.1001000436239483</c:v>
                      </c:pt>
                      <c:pt idx="5">
                        <c:v>5.9501020809775191</c:v>
                      </c:pt>
                      <c:pt idx="6">
                        <c:v>6.80010411833109</c:v>
                      </c:pt>
                      <c:pt idx="7">
                        <c:v>7.6501061556846617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'Задание 2'!$F$2:$F$9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>
                        <c:v>1.7000918942096637</c:v>
                      </c:pt>
                      <c:pt idx="1">
                        <c:v>2.5500939315632349</c:v>
                      </c:pt>
                      <c:pt idx="2">
                        <c:v>3.4000959689168062</c:v>
                      </c:pt>
                      <c:pt idx="3">
                        <c:v>4.2500980062703775</c:v>
                      </c:pt>
                      <c:pt idx="4">
                        <c:v>5.1001000436239483</c:v>
                      </c:pt>
                      <c:pt idx="5">
                        <c:v>5.9501020809775191</c:v>
                      </c:pt>
                      <c:pt idx="6">
                        <c:v>6.80010411833109</c:v>
                      </c:pt>
                      <c:pt idx="7">
                        <c:v>7.6501061556846617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A82-415A-930B-93D04A71134F}"/>
                  </c:ext>
                </c:extLst>
              </c15:ser>
            </c15:filteredBarSeries>
          </c:ext>
        </c:extLst>
      </c:barChart>
      <c:catAx>
        <c:axId val="442934607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122287"/>
        <c:crosses val="autoZero"/>
        <c:auto val="1"/>
        <c:lblAlgn val="ctr"/>
        <c:lblOffset val="100"/>
        <c:noMultiLvlLbl val="0"/>
      </c:catAx>
      <c:valAx>
        <c:axId val="8412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293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ysClr val="windowText" lastClr="000000"/>
                </a:solidFill>
              </a:rPr>
              <a:t>Ряд с накопительнными частотами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'Задание 2'!$F$2:$F$9</c:f>
              <c:numCache>
                <c:formatCode>0.00</c:formatCode>
                <c:ptCount val="8"/>
                <c:pt idx="0">
                  <c:v>1.7000918942096637</c:v>
                </c:pt>
                <c:pt idx="1">
                  <c:v>2.5500939315632349</c:v>
                </c:pt>
                <c:pt idx="2">
                  <c:v>3.4000959689168062</c:v>
                </c:pt>
                <c:pt idx="3">
                  <c:v>4.2500980062703775</c:v>
                </c:pt>
                <c:pt idx="4">
                  <c:v>5.1001000436239483</c:v>
                </c:pt>
                <c:pt idx="5">
                  <c:v>5.9501020809775191</c:v>
                </c:pt>
                <c:pt idx="6">
                  <c:v>6.80010411833109</c:v>
                </c:pt>
                <c:pt idx="7">
                  <c:v>7.6501061556846617</c:v>
                </c:pt>
              </c:numCache>
            </c:numRef>
          </c:cat>
          <c:val>
            <c:numRef>
              <c:f>'Задание 2'!$I$2:$I$9</c:f>
              <c:numCache>
                <c:formatCode>General</c:formatCode>
                <c:ptCount val="8"/>
                <c:pt idx="0" formatCode="0.00">
                  <c:v>0.76</c:v>
                </c:pt>
                <c:pt idx="1">
                  <c:v>0.89</c:v>
                </c:pt>
                <c:pt idx="2">
                  <c:v>0.95</c:v>
                </c:pt>
                <c:pt idx="3">
                  <c:v>0.96</c:v>
                </c:pt>
                <c:pt idx="4">
                  <c:v>0.96</c:v>
                </c:pt>
                <c:pt idx="5">
                  <c:v>0.97</c:v>
                </c:pt>
                <c:pt idx="6">
                  <c:v>0.97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29-41F6-A801-959F3D710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9658095"/>
        <c:axId val="318663519"/>
      </c:barChart>
      <c:catAx>
        <c:axId val="449658095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8663519"/>
        <c:crosses val="autoZero"/>
        <c:auto val="1"/>
        <c:lblAlgn val="ctr"/>
        <c:lblOffset val="100"/>
        <c:noMultiLvlLbl val="0"/>
      </c:catAx>
      <c:valAx>
        <c:axId val="31866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965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>
                <a:solidFill>
                  <a:sysClr val="windowText" lastClr="000000"/>
                </a:solidFill>
              </a:rPr>
              <a:t>Сравнение</a:t>
            </a:r>
            <a:r>
              <a:rPr lang="ru-RU" sz="1600" b="1" baseline="0">
                <a:solidFill>
                  <a:sysClr val="windowText" lastClr="000000"/>
                </a:solidFill>
              </a:rPr>
              <a:t> плотностей вероятностей</a:t>
            </a:r>
            <a:endParaRPr lang="ru-RU" sz="16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'Задание 2'!$F$2:$F$9</c:f>
              <c:numCache>
                <c:formatCode>0.00</c:formatCode>
                <c:ptCount val="8"/>
                <c:pt idx="0">
                  <c:v>1.7000918942096637</c:v>
                </c:pt>
                <c:pt idx="1">
                  <c:v>2.5500939315632349</c:v>
                </c:pt>
                <c:pt idx="2">
                  <c:v>3.4000959689168062</c:v>
                </c:pt>
                <c:pt idx="3">
                  <c:v>4.2500980062703775</c:v>
                </c:pt>
                <c:pt idx="4">
                  <c:v>5.1001000436239483</c:v>
                </c:pt>
                <c:pt idx="5">
                  <c:v>5.9501020809775191</c:v>
                </c:pt>
                <c:pt idx="6">
                  <c:v>6.80010411833109</c:v>
                </c:pt>
                <c:pt idx="7">
                  <c:v>7.6501061556846617</c:v>
                </c:pt>
              </c:numCache>
            </c:numRef>
          </c:cat>
          <c:val>
            <c:numRef>
              <c:f>'Задание 2'!$L$2:$L$9</c:f>
              <c:numCache>
                <c:formatCode>General</c:formatCode>
                <c:ptCount val="8"/>
                <c:pt idx="0">
                  <c:v>0.13076863885417722</c:v>
                </c:pt>
                <c:pt idx="1">
                  <c:v>6.9804933151672008E-2</c:v>
                </c:pt>
                <c:pt idx="2">
                  <c:v>3.9522373632658876E-2</c:v>
                </c:pt>
                <c:pt idx="3">
                  <c:v>2.3110723282014137E-2</c:v>
                </c:pt>
                <c:pt idx="4">
                  <c:v>1.3792661095046736E-2</c:v>
                </c:pt>
                <c:pt idx="5">
                  <c:v>8.3483299873941767E-3</c:v>
                </c:pt>
                <c:pt idx="6">
                  <c:v>5.105384284165463E-3</c:v>
                </c:pt>
                <c:pt idx="7">
                  <c:v>3.1468561466853253E-3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4-405F-A2D6-F98E858239A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'Задание 2'!$F$2:$F$9</c:f>
              <c:numCache>
                <c:formatCode>0.00</c:formatCode>
                <c:ptCount val="8"/>
                <c:pt idx="0">
                  <c:v>1.7000918942096637</c:v>
                </c:pt>
                <c:pt idx="1">
                  <c:v>2.5500939315632349</c:v>
                </c:pt>
                <c:pt idx="2">
                  <c:v>3.4000959689168062</c:v>
                </c:pt>
                <c:pt idx="3">
                  <c:v>4.2500980062703775</c:v>
                </c:pt>
                <c:pt idx="4">
                  <c:v>5.1001000436239483</c:v>
                </c:pt>
                <c:pt idx="5">
                  <c:v>5.9501020809775191</c:v>
                </c:pt>
                <c:pt idx="6">
                  <c:v>6.80010411833109</c:v>
                </c:pt>
                <c:pt idx="7">
                  <c:v>7.6501061556846617</c:v>
                </c:pt>
              </c:numCache>
            </c:numRef>
          </c:cat>
          <c:val>
            <c:numRef>
              <c:f>'Задание 2'!$M$2:$M$9</c:f>
              <c:numCache>
                <c:formatCode>General</c:formatCode>
                <c:ptCount val="8"/>
                <c:pt idx="0">
                  <c:v>0.64600154838871415</c:v>
                </c:pt>
                <c:pt idx="1">
                  <c:v>0.11050026485596427</c:v>
                </c:pt>
                <c:pt idx="2">
                  <c:v>5.1000122241214273E-2</c:v>
                </c:pt>
                <c:pt idx="3">
                  <c:v>8.5000203735357133E-3</c:v>
                </c:pt>
                <c:pt idx="4">
                  <c:v>0</c:v>
                </c:pt>
                <c:pt idx="5">
                  <c:v>8.5000203735357133E-3</c:v>
                </c:pt>
                <c:pt idx="6">
                  <c:v>0</c:v>
                </c:pt>
                <c:pt idx="7">
                  <c:v>2.5500061120607136E-2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D4-405F-A2D6-F98E85823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1"/>
        <c:axId val="386874383"/>
        <c:axId val="227795455"/>
      </c:barChart>
      <c:catAx>
        <c:axId val="386874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 b="1">
                    <a:solidFill>
                      <a:sysClr val="windowText" lastClr="000000"/>
                    </a:solidFill>
                  </a:rPr>
                  <a:t>Случайная хи2 величина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7795455"/>
        <c:crosses val="autoZero"/>
        <c:auto val="1"/>
        <c:lblAlgn val="ctr"/>
        <c:lblOffset val="100"/>
        <c:noMultiLvlLbl val="0"/>
      </c:catAx>
      <c:valAx>
        <c:axId val="22779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 b="1">
                    <a:solidFill>
                      <a:sysClr val="windowText" lastClr="000000"/>
                    </a:solidFill>
                  </a:rPr>
                  <a:t>Плотность вероятности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687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solidFill>
                  <a:sysClr val="windowText" lastClr="000000"/>
                </a:solidFill>
                <a:effectLst/>
              </a:rPr>
              <a:t>Сравнение распределений</a:t>
            </a:r>
            <a:endParaRPr lang="ru-RU">
              <a:solidFill>
                <a:sysClr val="windowText" lastClr="00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'Задание 2'!$F$2:$F$9</c:f>
              <c:numCache>
                <c:formatCode>0.00</c:formatCode>
                <c:ptCount val="8"/>
                <c:pt idx="0">
                  <c:v>1.7000918942096637</c:v>
                </c:pt>
                <c:pt idx="1">
                  <c:v>2.5500939315632349</c:v>
                </c:pt>
                <c:pt idx="2">
                  <c:v>3.4000959689168062</c:v>
                </c:pt>
                <c:pt idx="3">
                  <c:v>4.2500980062703775</c:v>
                </c:pt>
                <c:pt idx="4">
                  <c:v>5.1001000436239483</c:v>
                </c:pt>
                <c:pt idx="5">
                  <c:v>5.9501020809775191</c:v>
                </c:pt>
                <c:pt idx="6">
                  <c:v>6.80010411833109</c:v>
                </c:pt>
                <c:pt idx="7">
                  <c:v>7.6501061556846617</c:v>
                </c:pt>
              </c:numCache>
            </c:numRef>
          </c:cat>
          <c:val>
            <c:numRef>
              <c:f>'Задание 2'!$I$2:$I$9</c:f>
              <c:numCache>
                <c:formatCode>General</c:formatCode>
                <c:ptCount val="8"/>
                <c:pt idx="0" formatCode="0.00">
                  <c:v>0.76</c:v>
                </c:pt>
                <c:pt idx="1">
                  <c:v>0.89</c:v>
                </c:pt>
                <c:pt idx="2">
                  <c:v>0.95</c:v>
                </c:pt>
                <c:pt idx="3">
                  <c:v>0.96</c:v>
                </c:pt>
                <c:pt idx="4">
                  <c:v>0.96</c:v>
                </c:pt>
                <c:pt idx="5">
                  <c:v>0.97</c:v>
                </c:pt>
                <c:pt idx="6">
                  <c:v>0.97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7-4A8A-80D5-1D5CA834BF05}"/>
            </c:ext>
          </c:extLst>
        </c:ser>
        <c:ser>
          <c:idx val="1"/>
          <c:order val="1"/>
          <c:tx>
            <c:v>Теор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'Задание 2'!$F$2:$F$9</c:f>
              <c:numCache>
                <c:formatCode>0.00</c:formatCode>
                <c:ptCount val="8"/>
                <c:pt idx="0">
                  <c:v>1.7000918942096637</c:v>
                </c:pt>
                <c:pt idx="1">
                  <c:v>2.5500939315632349</c:v>
                </c:pt>
                <c:pt idx="2">
                  <c:v>3.4000959689168062</c:v>
                </c:pt>
                <c:pt idx="3">
                  <c:v>4.2500980062703775</c:v>
                </c:pt>
                <c:pt idx="4">
                  <c:v>5.1001000436239483</c:v>
                </c:pt>
                <c:pt idx="5">
                  <c:v>5.9501020809775191</c:v>
                </c:pt>
                <c:pt idx="6">
                  <c:v>6.80010411833109</c:v>
                </c:pt>
                <c:pt idx="7">
                  <c:v>7.6501061556846617</c:v>
                </c:pt>
              </c:numCache>
            </c:numRef>
          </c:cat>
          <c:val>
            <c:numRef>
              <c:f>'Задание 2'!$K$2:$K$9</c:f>
              <c:numCache>
                <c:formatCode>General</c:formatCode>
                <c:ptCount val="8"/>
                <c:pt idx="0">
                  <c:v>0.80772404020766608</c:v>
                </c:pt>
                <c:pt idx="1">
                  <c:v>0.88971230185629768</c:v>
                </c:pt>
                <c:pt idx="2">
                  <c:v>0.93480737395902458</c:v>
                </c:pt>
                <c:pt idx="3">
                  <c:v>0.96075193459665675</c:v>
                </c:pt>
                <c:pt idx="4">
                  <c:v>0.97607553642845268</c:v>
                </c:pt>
                <c:pt idx="5">
                  <c:v>0.98528356611401369</c:v>
                </c:pt>
                <c:pt idx="6">
                  <c:v>0.99088474432745433</c:v>
                </c:pt>
                <c:pt idx="7">
                  <c:v>0.99432310192853401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57-4A8A-80D5-1D5CA834B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9853680"/>
        <c:axId val="345191008"/>
      </c:barChart>
      <c:catAx>
        <c:axId val="72985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5191008"/>
        <c:crosses val="autoZero"/>
        <c:auto val="1"/>
        <c:lblAlgn val="ctr"/>
        <c:lblOffset val="100"/>
        <c:noMultiLvlLbl val="0"/>
      </c:catAx>
      <c:valAx>
        <c:axId val="34519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985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173690</xdr:colOff>
      <xdr:row>12</xdr:row>
      <xdr:rowOff>169208</xdr:rowOff>
    </xdr:from>
    <xdr:to>
      <xdr:col>5</xdr:col>
      <xdr:colOff>476249</xdr:colOff>
      <xdr:row>27</xdr:row>
      <xdr:rowOff>54908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3FAB18F-979A-4420-A6F8-042374813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78441</xdr:colOff>
      <xdr:row>12</xdr:row>
      <xdr:rowOff>169208</xdr:rowOff>
    </xdr:from>
    <xdr:to>
      <xdr:col>9</xdr:col>
      <xdr:colOff>1568823</xdr:colOff>
      <xdr:row>27</xdr:row>
      <xdr:rowOff>54908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780510C-2DF9-4211-A5DB-7D4084D002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145677</xdr:colOff>
      <xdr:row>28</xdr:row>
      <xdr:rowOff>158002</xdr:rowOff>
    </xdr:from>
    <xdr:to>
      <xdr:col>5</xdr:col>
      <xdr:colOff>448236</xdr:colOff>
      <xdr:row>43</xdr:row>
      <xdr:rowOff>43702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5E50289-C9C0-49CD-9F8E-0E9C77197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44824</xdr:colOff>
      <xdr:row>28</xdr:row>
      <xdr:rowOff>135590</xdr:rowOff>
    </xdr:from>
    <xdr:to>
      <xdr:col>9</xdr:col>
      <xdr:colOff>1535207</xdr:colOff>
      <xdr:row>43</xdr:row>
      <xdr:rowOff>21290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9D1B28BD-07B4-40BB-A104-C4C67A805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156882</xdr:colOff>
      <xdr:row>44</xdr:row>
      <xdr:rowOff>134470</xdr:rowOff>
    </xdr:from>
    <xdr:to>
      <xdr:col>5</xdr:col>
      <xdr:colOff>717177</xdr:colOff>
      <xdr:row>63</xdr:row>
      <xdr:rowOff>123264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AD1EECCE-EB84-4502-9783-075805381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1355913</xdr:colOff>
      <xdr:row>44</xdr:row>
      <xdr:rowOff>158001</xdr:rowOff>
    </xdr:from>
    <xdr:to>
      <xdr:col>9</xdr:col>
      <xdr:colOff>1524000</xdr:colOff>
      <xdr:row>63</xdr:row>
      <xdr:rowOff>123264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5E00DC36-A57D-4C4D-8DA9-D5ECC1E325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490656</xdr:colOff>
      <xdr:row>12</xdr:row>
      <xdr:rowOff>95250</xdr:rowOff>
    </xdr:from>
    <xdr:to>
      <xdr:col>7</xdr:col>
      <xdr:colOff>1247817</xdr:colOff>
      <xdr:row>26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EB6133F-EB53-44F8-ABA2-13CC1F4C6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1221441</xdr:colOff>
      <xdr:row>12</xdr:row>
      <xdr:rowOff>34738</xdr:rowOff>
    </xdr:from>
    <xdr:to>
      <xdr:col>11</xdr:col>
      <xdr:colOff>1355912</xdr:colOff>
      <xdr:row>26</xdr:row>
      <xdr:rowOff>110938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E18E6EE-9FD8-4F37-96E5-18FC2F5C0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593911</xdr:colOff>
      <xdr:row>30</xdr:row>
      <xdr:rowOff>90767</xdr:rowOff>
    </xdr:from>
    <xdr:to>
      <xdr:col>7</xdr:col>
      <xdr:colOff>941294</xdr:colOff>
      <xdr:row>44</xdr:row>
      <xdr:rowOff>166967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7787ACCC-090F-44D5-B354-D30AA2AC6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1210235</xdr:colOff>
      <xdr:row>30</xdr:row>
      <xdr:rowOff>57150</xdr:rowOff>
    </xdr:from>
    <xdr:to>
      <xdr:col>11</xdr:col>
      <xdr:colOff>1344706</xdr:colOff>
      <xdr:row>44</xdr:row>
      <xdr:rowOff>133350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362F0029-DE32-4709-99DE-F0F509E9F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610719</xdr:colOff>
      <xdr:row>47</xdr:row>
      <xdr:rowOff>1120</xdr:rowOff>
    </xdr:from>
    <xdr:to>
      <xdr:col>8</xdr:col>
      <xdr:colOff>134470</xdr:colOff>
      <xdr:row>64</xdr:row>
      <xdr:rowOff>168088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4468D405-51C1-4BD5-B676-D512826EE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1008529</xdr:colOff>
      <xdr:row>46</xdr:row>
      <xdr:rowOff>134471</xdr:rowOff>
    </xdr:from>
    <xdr:to>
      <xdr:col>12</xdr:col>
      <xdr:colOff>4481</xdr:colOff>
      <xdr:row>65</xdr:row>
      <xdr:rowOff>99734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0E5A1472-E3F6-498B-8B45-5BCCCBA544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FB5E5-8B08-48D1-8B46-05D79ACC2D81}">
  <dimension ref="A1:J101"/>
  <sheetViews>
    <sheetView tabSelected="1" zoomScale="85" zoomScaleNormal="85" workbookViewId="0">
      <selection activeCell="G76" sqref="G76"/>
    </sheetView>
  </sheetViews>
  <sheetFormatPr defaultRowHeight="15" x14ac:dyDescent="0.25"/>
  <cols>
    <col min="1" max="1" width="9.5703125" bestFit="1" customWidth="1"/>
    <col min="2" max="2" width="20.5703125" bestFit="1" customWidth="1"/>
    <col min="3" max="3" width="20.140625" bestFit="1" customWidth="1"/>
    <col min="4" max="4" width="26.7109375" bestFit="1" customWidth="1"/>
    <col min="5" max="5" width="23.42578125" bestFit="1" customWidth="1"/>
    <col min="6" max="6" width="20.42578125" bestFit="1" customWidth="1"/>
    <col min="7" max="7" width="40.85546875" bestFit="1" customWidth="1"/>
    <col min="9" max="9" width="27.28515625" bestFit="1" customWidth="1"/>
    <col min="10" max="10" width="37" bestFit="1" customWidth="1"/>
    <col min="11" max="11" width="21" bestFit="1" customWidth="1"/>
    <col min="12" max="12" width="7.28515625" bestFit="1" customWidth="1"/>
  </cols>
  <sheetData>
    <row r="1" spans="1:10" ht="15.75" x14ac:dyDescent="0.25">
      <c r="A1" s="9" t="s">
        <v>0</v>
      </c>
      <c r="B1" s="10" t="s">
        <v>1</v>
      </c>
      <c r="C1" s="7" t="s">
        <v>5</v>
      </c>
      <c r="D1" s="2" t="s">
        <v>3</v>
      </c>
      <c r="E1" s="2" t="s">
        <v>4</v>
      </c>
      <c r="F1" s="5" t="s">
        <v>2</v>
      </c>
      <c r="G1" s="6"/>
      <c r="I1" s="3" t="s">
        <v>26</v>
      </c>
      <c r="J1" s="4" t="s">
        <v>6</v>
      </c>
    </row>
    <row r="2" spans="1:10" x14ac:dyDescent="0.25">
      <c r="A2" s="8">
        <v>12</v>
      </c>
      <c r="B2" s="8">
        <v>9</v>
      </c>
      <c r="C2" s="7">
        <v>9</v>
      </c>
      <c r="D2" s="1">
        <f>COUNTIF($A$2:$A$101, C2)</f>
        <v>2</v>
      </c>
      <c r="E2" s="1">
        <f>D2/100</f>
        <v>0.02</v>
      </c>
      <c r="F2" s="1">
        <f>E2</f>
        <v>0.02</v>
      </c>
      <c r="I2" s="3">
        <f>_xlfn.BINOM.DIST(C2, 20, 0.7, FALSE)</f>
        <v>1.2006654896137036E-2</v>
      </c>
      <c r="J2" s="4">
        <f>_xlfn.BINOM.DIST(C2, 20, 0.7, TRUE)</f>
        <v>1.7144816431258449E-2</v>
      </c>
    </row>
    <row r="3" spans="1:10" x14ac:dyDescent="0.25">
      <c r="A3" s="8">
        <v>15</v>
      </c>
      <c r="B3" s="8">
        <v>9</v>
      </c>
      <c r="C3" s="7">
        <v>10</v>
      </c>
      <c r="D3" s="1">
        <f t="shared" ref="D3:D11" si="0">COUNTIF($A$2:$A$101, C3)</f>
        <v>5</v>
      </c>
      <c r="E3" s="1">
        <f t="shared" ref="E3:E11" si="1">D3/100</f>
        <v>0.05</v>
      </c>
      <c r="F3" s="1">
        <f>F2+E3</f>
        <v>7.0000000000000007E-2</v>
      </c>
      <c r="I3" s="3">
        <f t="shared" ref="I3:I11" si="2">_xlfn.BINOM.DIST(C3, 20, 0.7, FALSE)</f>
        <v>3.0817080900085028E-2</v>
      </c>
      <c r="J3" s="4">
        <f t="shared" ref="J3:J11" si="3">_xlfn.BINOM.DIST(C3, 20, 0.7, TRUE)</f>
        <v>4.7961897331343491E-2</v>
      </c>
    </row>
    <row r="4" spans="1:10" x14ac:dyDescent="0.25">
      <c r="A4" s="8">
        <v>11</v>
      </c>
      <c r="B4" s="8">
        <v>10</v>
      </c>
      <c r="C4" s="7">
        <v>11</v>
      </c>
      <c r="D4" s="1">
        <f t="shared" si="0"/>
        <v>6</v>
      </c>
      <c r="E4" s="1">
        <f t="shared" si="1"/>
        <v>0.06</v>
      </c>
      <c r="F4" s="1">
        <f t="shared" ref="F4:F11" si="4">F3+E4</f>
        <v>0.13</v>
      </c>
      <c r="I4" s="3">
        <f t="shared" si="2"/>
        <v>6.5369565545634972E-2</v>
      </c>
      <c r="J4" s="4">
        <f t="shared" si="3"/>
        <v>0.11333146287697846</v>
      </c>
    </row>
    <row r="5" spans="1:10" x14ac:dyDescent="0.25">
      <c r="A5" s="8">
        <v>15</v>
      </c>
      <c r="B5" s="8">
        <v>10</v>
      </c>
      <c r="C5" s="7">
        <v>12</v>
      </c>
      <c r="D5" s="1">
        <f t="shared" si="0"/>
        <v>14</v>
      </c>
      <c r="E5" s="1">
        <f t="shared" si="1"/>
        <v>0.14000000000000001</v>
      </c>
      <c r="F5" s="1">
        <f t="shared" si="4"/>
        <v>0.27</v>
      </c>
      <c r="I5" s="3">
        <f t="shared" si="2"/>
        <v>0.11439673970486115</v>
      </c>
      <c r="J5" s="4">
        <f t="shared" si="3"/>
        <v>0.22772820258183946</v>
      </c>
    </row>
    <row r="6" spans="1:10" x14ac:dyDescent="0.25">
      <c r="A6" s="8">
        <v>14</v>
      </c>
      <c r="B6" s="8">
        <v>10</v>
      </c>
      <c r="C6" s="7">
        <v>13</v>
      </c>
      <c r="D6" s="1">
        <f t="shared" si="0"/>
        <v>6</v>
      </c>
      <c r="E6" s="1">
        <f t="shared" si="1"/>
        <v>0.06</v>
      </c>
      <c r="F6" s="1">
        <f t="shared" si="4"/>
        <v>0.33</v>
      </c>
      <c r="I6" s="3">
        <f t="shared" si="2"/>
        <v>0.16426198521723651</v>
      </c>
      <c r="J6" s="4">
        <f t="shared" si="3"/>
        <v>0.39199018779907613</v>
      </c>
    </row>
    <row r="7" spans="1:10" x14ac:dyDescent="0.25">
      <c r="A7" s="8">
        <v>16</v>
      </c>
      <c r="B7" s="8">
        <v>10</v>
      </c>
      <c r="C7" s="7">
        <v>14</v>
      </c>
      <c r="D7" s="1">
        <f t="shared" si="0"/>
        <v>24</v>
      </c>
      <c r="E7" s="1">
        <f t="shared" si="1"/>
        <v>0.24</v>
      </c>
      <c r="F7" s="1">
        <f t="shared" si="4"/>
        <v>0.57000000000000006</v>
      </c>
      <c r="I7" s="3">
        <f t="shared" si="2"/>
        <v>0.1916389827534426</v>
      </c>
      <c r="J7" s="4">
        <f t="shared" si="3"/>
        <v>0.58362917055251895</v>
      </c>
    </row>
    <row r="8" spans="1:10" x14ac:dyDescent="0.25">
      <c r="A8" s="8">
        <v>15</v>
      </c>
      <c r="B8" s="8">
        <v>10</v>
      </c>
      <c r="C8" s="7">
        <v>15</v>
      </c>
      <c r="D8" s="1">
        <f t="shared" si="0"/>
        <v>23</v>
      </c>
      <c r="E8" s="1">
        <f t="shared" si="1"/>
        <v>0.23</v>
      </c>
      <c r="F8" s="1">
        <f t="shared" si="4"/>
        <v>0.8</v>
      </c>
      <c r="I8" s="3">
        <f t="shared" si="2"/>
        <v>0.17886305056987969</v>
      </c>
      <c r="J8" s="4">
        <f t="shared" si="3"/>
        <v>0.76249222112239856</v>
      </c>
    </row>
    <row r="9" spans="1:10" x14ac:dyDescent="0.25">
      <c r="A9" s="8">
        <v>14</v>
      </c>
      <c r="B9" s="8">
        <v>11</v>
      </c>
      <c r="C9" s="7">
        <v>16</v>
      </c>
      <c r="D9" s="1">
        <f t="shared" si="0"/>
        <v>14</v>
      </c>
      <c r="E9" s="1">
        <f t="shared" si="1"/>
        <v>0.14000000000000001</v>
      </c>
      <c r="F9" s="1">
        <f t="shared" si="4"/>
        <v>0.94000000000000006</v>
      </c>
      <c r="I9" s="3">
        <f t="shared" si="2"/>
        <v>0.13042097437387062</v>
      </c>
      <c r="J9" s="4">
        <f t="shared" si="3"/>
        <v>0.89291319549626902</v>
      </c>
    </row>
    <row r="10" spans="1:10" x14ac:dyDescent="0.25">
      <c r="A10" s="8">
        <v>15</v>
      </c>
      <c r="B10" s="8">
        <v>11</v>
      </c>
      <c r="C10" s="7">
        <v>17</v>
      </c>
      <c r="D10" s="1">
        <f t="shared" si="0"/>
        <v>5</v>
      </c>
      <c r="E10" s="1">
        <f t="shared" si="1"/>
        <v>0.05</v>
      </c>
      <c r="F10" s="1">
        <f t="shared" si="4"/>
        <v>0.9900000000000001</v>
      </c>
      <c r="I10" s="3">
        <f t="shared" si="2"/>
        <v>7.1603672205262273E-2</v>
      </c>
      <c r="J10" s="4">
        <f t="shared" si="3"/>
        <v>0.96451686770153133</v>
      </c>
    </row>
    <row r="11" spans="1:10" x14ac:dyDescent="0.25">
      <c r="A11" s="8">
        <v>11</v>
      </c>
      <c r="B11" s="8">
        <v>11</v>
      </c>
      <c r="C11" s="7">
        <v>18</v>
      </c>
      <c r="D11" s="1">
        <f t="shared" si="0"/>
        <v>1</v>
      </c>
      <c r="E11" s="1">
        <f t="shared" si="1"/>
        <v>0.01</v>
      </c>
      <c r="F11" s="1">
        <f t="shared" si="4"/>
        <v>1</v>
      </c>
      <c r="I11" s="3">
        <f t="shared" si="2"/>
        <v>2.7845872524268681E-2</v>
      </c>
      <c r="J11" s="4">
        <f t="shared" si="3"/>
        <v>0.99236274022579996</v>
      </c>
    </row>
    <row r="12" spans="1:10" x14ac:dyDescent="0.25">
      <c r="A12" s="8">
        <v>14</v>
      </c>
      <c r="B12" s="8">
        <v>11</v>
      </c>
    </row>
    <row r="13" spans="1:10" x14ac:dyDescent="0.25">
      <c r="A13" s="8">
        <v>11</v>
      </c>
      <c r="B13" s="8">
        <v>11</v>
      </c>
    </row>
    <row r="14" spans="1:10" x14ac:dyDescent="0.25">
      <c r="A14" s="8">
        <v>16</v>
      </c>
      <c r="B14" s="8">
        <v>11</v>
      </c>
    </row>
    <row r="15" spans="1:10" x14ac:dyDescent="0.25">
      <c r="A15" s="8">
        <v>11</v>
      </c>
      <c r="B15" s="8">
        <v>12</v>
      </c>
    </row>
    <row r="16" spans="1:10" x14ac:dyDescent="0.25">
      <c r="A16" s="8">
        <v>15</v>
      </c>
      <c r="B16" s="8">
        <v>12</v>
      </c>
    </row>
    <row r="17" spans="1:2" x14ac:dyDescent="0.25">
      <c r="A17" s="8">
        <v>14</v>
      </c>
      <c r="B17" s="8">
        <v>12</v>
      </c>
    </row>
    <row r="18" spans="1:2" x14ac:dyDescent="0.25">
      <c r="A18" s="8">
        <v>14</v>
      </c>
      <c r="B18" s="8">
        <v>12</v>
      </c>
    </row>
    <row r="19" spans="1:2" x14ac:dyDescent="0.25">
      <c r="A19" s="8">
        <v>10</v>
      </c>
      <c r="B19" s="8">
        <v>12</v>
      </c>
    </row>
    <row r="20" spans="1:2" x14ac:dyDescent="0.25">
      <c r="A20" s="8">
        <v>14</v>
      </c>
      <c r="B20" s="8">
        <v>12</v>
      </c>
    </row>
    <row r="21" spans="1:2" x14ac:dyDescent="0.25">
      <c r="A21" s="8">
        <v>14</v>
      </c>
      <c r="B21" s="8">
        <v>12</v>
      </c>
    </row>
    <row r="22" spans="1:2" x14ac:dyDescent="0.25">
      <c r="A22" s="8">
        <v>16</v>
      </c>
      <c r="B22" s="8">
        <v>12</v>
      </c>
    </row>
    <row r="23" spans="1:2" x14ac:dyDescent="0.25">
      <c r="A23" s="8">
        <v>14</v>
      </c>
      <c r="B23" s="8">
        <v>12</v>
      </c>
    </row>
    <row r="24" spans="1:2" x14ac:dyDescent="0.25">
      <c r="A24" s="8">
        <v>14</v>
      </c>
      <c r="B24" s="8">
        <v>12</v>
      </c>
    </row>
    <row r="25" spans="1:2" x14ac:dyDescent="0.25">
      <c r="A25" s="8">
        <v>12</v>
      </c>
      <c r="B25" s="8">
        <v>12</v>
      </c>
    </row>
    <row r="26" spans="1:2" x14ac:dyDescent="0.25">
      <c r="A26" s="8">
        <v>14</v>
      </c>
      <c r="B26" s="8">
        <v>12</v>
      </c>
    </row>
    <row r="27" spans="1:2" x14ac:dyDescent="0.25">
      <c r="A27" s="8">
        <v>14</v>
      </c>
      <c r="B27" s="8">
        <v>12</v>
      </c>
    </row>
    <row r="28" spans="1:2" x14ac:dyDescent="0.25">
      <c r="A28" s="8">
        <v>13</v>
      </c>
      <c r="B28" s="8">
        <v>12</v>
      </c>
    </row>
    <row r="29" spans="1:2" x14ac:dyDescent="0.25">
      <c r="A29" s="8">
        <v>11</v>
      </c>
      <c r="B29" s="8">
        <v>13</v>
      </c>
    </row>
    <row r="30" spans="1:2" x14ac:dyDescent="0.25">
      <c r="A30" s="8">
        <v>15</v>
      </c>
      <c r="B30" s="8">
        <v>13</v>
      </c>
    </row>
    <row r="31" spans="1:2" x14ac:dyDescent="0.25">
      <c r="A31" s="8">
        <v>16</v>
      </c>
      <c r="B31" s="8">
        <v>13</v>
      </c>
    </row>
    <row r="32" spans="1:2" x14ac:dyDescent="0.25">
      <c r="A32" s="8">
        <v>17</v>
      </c>
      <c r="B32" s="8">
        <v>13</v>
      </c>
    </row>
    <row r="33" spans="1:2" x14ac:dyDescent="0.25">
      <c r="A33" s="8">
        <v>9</v>
      </c>
      <c r="B33" s="8">
        <v>13</v>
      </c>
    </row>
    <row r="34" spans="1:2" x14ac:dyDescent="0.25">
      <c r="A34" s="8">
        <v>17</v>
      </c>
      <c r="B34" s="8">
        <v>13</v>
      </c>
    </row>
    <row r="35" spans="1:2" x14ac:dyDescent="0.25">
      <c r="A35" s="8">
        <v>10</v>
      </c>
      <c r="B35" s="8">
        <v>14</v>
      </c>
    </row>
    <row r="36" spans="1:2" x14ac:dyDescent="0.25">
      <c r="A36" s="8">
        <v>10</v>
      </c>
      <c r="B36" s="8">
        <v>14</v>
      </c>
    </row>
    <row r="37" spans="1:2" x14ac:dyDescent="0.25">
      <c r="A37" s="8">
        <v>15</v>
      </c>
      <c r="B37" s="8">
        <v>14</v>
      </c>
    </row>
    <row r="38" spans="1:2" x14ac:dyDescent="0.25">
      <c r="A38" s="8">
        <v>12</v>
      </c>
      <c r="B38" s="8">
        <v>14</v>
      </c>
    </row>
    <row r="39" spans="1:2" x14ac:dyDescent="0.25">
      <c r="A39" s="8">
        <v>15</v>
      </c>
      <c r="B39" s="8">
        <v>14</v>
      </c>
    </row>
    <row r="40" spans="1:2" x14ac:dyDescent="0.25">
      <c r="A40" s="8">
        <v>14</v>
      </c>
      <c r="B40" s="8">
        <v>14</v>
      </c>
    </row>
    <row r="41" spans="1:2" x14ac:dyDescent="0.25">
      <c r="A41" s="8">
        <v>15</v>
      </c>
      <c r="B41" s="8">
        <v>14</v>
      </c>
    </row>
    <row r="42" spans="1:2" x14ac:dyDescent="0.25">
      <c r="A42" s="8">
        <v>16</v>
      </c>
      <c r="B42" s="8">
        <v>14</v>
      </c>
    </row>
    <row r="43" spans="1:2" x14ac:dyDescent="0.25">
      <c r="A43" s="8">
        <v>15</v>
      </c>
      <c r="B43" s="8">
        <v>14</v>
      </c>
    </row>
    <row r="44" spans="1:2" x14ac:dyDescent="0.25">
      <c r="A44" s="8">
        <v>14</v>
      </c>
      <c r="B44" s="8">
        <v>14</v>
      </c>
    </row>
    <row r="45" spans="1:2" x14ac:dyDescent="0.25">
      <c r="A45" s="8">
        <v>9</v>
      </c>
      <c r="B45" s="8">
        <v>14</v>
      </c>
    </row>
    <row r="46" spans="1:2" x14ac:dyDescent="0.25">
      <c r="A46" s="8">
        <v>12</v>
      </c>
      <c r="B46" s="8">
        <v>14</v>
      </c>
    </row>
    <row r="47" spans="1:2" x14ac:dyDescent="0.25">
      <c r="A47" s="8">
        <v>16</v>
      </c>
      <c r="B47" s="8">
        <v>14</v>
      </c>
    </row>
    <row r="48" spans="1:2" x14ac:dyDescent="0.25">
      <c r="A48" s="8">
        <v>15</v>
      </c>
      <c r="B48" s="8">
        <v>14</v>
      </c>
    </row>
    <row r="49" spans="1:2" x14ac:dyDescent="0.25">
      <c r="A49" s="8">
        <v>14</v>
      </c>
      <c r="B49" s="8">
        <v>14</v>
      </c>
    </row>
    <row r="50" spans="1:2" x14ac:dyDescent="0.25">
      <c r="A50" s="8">
        <v>16</v>
      </c>
      <c r="B50" s="8">
        <v>14</v>
      </c>
    </row>
    <row r="51" spans="1:2" x14ac:dyDescent="0.25">
      <c r="A51" s="8">
        <v>15</v>
      </c>
      <c r="B51" s="8">
        <v>14</v>
      </c>
    </row>
    <row r="52" spans="1:2" x14ac:dyDescent="0.25">
      <c r="A52" s="8">
        <v>12</v>
      </c>
      <c r="B52" s="8">
        <v>14</v>
      </c>
    </row>
    <row r="53" spans="1:2" x14ac:dyDescent="0.25">
      <c r="A53" s="8">
        <v>14</v>
      </c>
      <c r="B53" s="8">
        <v>14</v>
      </c>
    </row>
    <row r="54" spans="1:2" x14ac:dyDescent="0.25">
      <c r="A54" s="8">
        <v>15</v>
      </c>
      <c r="B54" s="8">
        <v>14</v>
      </c>
    </row>
    <row r="55" spans="1:2" x14ac:dyDescent="0.25">
      <c r="A55" s="8">
        <v>12</v>
      </c>
      <c r="B55" s="8">
        <v>14</v>
      </c>
    </row>
    <row r="56" spans="1:2" x14ac:dyDescent="0.25">
      <c r="A56" s="8">
        <v>15</v>
      </c>
      <c r="B56" s="8">
        <v>14</v>
      </c>
    </row>
    <row r="57" spans="1:2" x14ac:dyDescent="0.25">
      <c r="A57" s="8">
        <v>15</v>
      </c>
      <c r="B57" s="8">
        <v>14</v>
      </c>
    </row>
    <row r="58" spans="1:2" x14ac:dyDescent="0.25">
      <c r="A58" s="8">
        <v>17</v>
      </c>
      <c r="B58" s="8">
        <v>14</v>
      </c>
    </row>
    <row r="59" spans="1:2" x14ac:dyDescent="0.25">
      <c r="A59" s="8">
        <v>15</v>
      </c>
      <c r="B59" s="8">
        <v>15</v>
      </c>
    </row>
    <row r="60" spans="1:2" x14ac:dyDescent="0.25">
      <c r="A60" s="8">
        <v>13</v>
      </c>
      <c r="B60" s="8">
        <v>15</v>
      </c>
    </row>
    <row r="61" spans="1:2" x14ac:dyDescent="0.25">
      <c r="A61" s="8">
        <v>12</v>
      </c>
      <c r="B61" s="8">
        <v>15</v>
      </c>
    </row>
    <row r="62" spans="1:2" x14ac:dyDescent="0.25">
      <c r="A62" s="8">
        <v>12</v>
      </c>
      <c r="B62" s="8">
        <v>15</v>
      </c>
    </row>
    <row r="63" spans="1:2" x14ac:dyDescent="0.25">
      <c r="A63" s="8">
        <v>16</v>
      </c>
      <c r="B63" s="8">
        <v>15</v>
      </c>
    </row>
    <row r="64" spans="1:2" x14ac:dyDescent="0.25">
      <c r="A64" s="8">
        <v>13</v>
      </c>
      <c r="B64" s="8">
        <v>15</v>
      </c>
    </row>
    <row r="65" spans="1:7" x14ac:dyDescent="0.25">
      <c r="A65" s="8">
        <v>12</v>
      </c>
      <c r="B65" s="8">
        <v>15</v>
      </c>
    </row>
    <row r="66" spans="1:7" x14ac:dyDescent="0.25">
      <c r="A66" s="8">
        <v>15</v>
      </c>
      <c r="B66" s="8">
        <v>15</v>
      </c>
    </row>
    <row r="67" spans="1:7" x14ac:dyDescent="0.25">
      <c r="A67" s="8">
        <v>13</v>
      </c>
      <c r="B67" s="8">
        <v>15</v>
      </c>
    </row>
    <row r="68" spans="1:7" x14ac:dyDescent="0.25">
      <c r="A68" s="8">
        <v>12</v>
      </c>
      <c r="B68" s="8">
        <v>15</v>
      </c>
    </row>
    <row r="69" spans="1:7" x14ac:dyDescent="0.25">
      <c r="A69" s="8">
        <v>16</v>
      </c>
      <c r="B69" s="8">
        <v>15</v>
      </c>
      <c r="D69" s="11" t="s">
        <v>7</v>
      </c>
      <c r="E69" s="12">
        <f>AVERAGE($A$2:$A$101)</f>
        <v>13.88</v>
      </c>
      <c r="F69" s="15"/>
      <c r="G69" s="15"/>
    </row>
    <row r="70" spans="1:7" x14ac:dyDescent="0.25">
      <c r="A70" s="8">
        <v>12</v>
      </c>
      <c r="B70" s="8">
        <v>15</v>
      </c>
      <c r="D70" s="11" t="s">
        <v>11</v>
      </c>
      <c r="E70" s="12">
        <f>SUMPRODUCT((A2:A101 - AVERAGE(A2:A101))^2) / COUNT(A2:A101)</f>
        <v>3.8456000000000006</v>
      </c>
      <c r="F70" s="12">
        <v>14</v>
      </c>
      <c r="G70" s="11" t="s">
        <v>8</v>
      </c>
    </row>
    <row r="71" spans="1:7" x14ac:dyDescent="0.25">
      <c r="A71" s="8">
        <v>10</v>
      </c>
      <c r="B71" s="8">
        <v>15</v>
      </c>
      <c r="D71" s="11" t="s">
        <v>10</v>
      </c>
      <c r="E71" s="12">
        <f>SUMPRODUCT((A2:A101 - AVERAGE(A2:A101))^2) / (COUNT(A2:A101)-1)</f>
        <v>3.884444444444445</v>
      </c>
      <c r="F71" s="12">
        <v>4.2</v>
      </c>
      <c r="G71" s="13" t="s">
        <v>9</v>
      </c>
    </row>
    <row r="72" spans="1:7" x14ac:dyDescent="0.25">
      <c r="A72" s="8">
        <v>15</v>
      </c>
      <c r="B72" s="8">
        <v>15</v>
      </c>
      <c r="D72" s="13" t="s">
        <v>12</v>
      </c>
      <c r="E72" s="12">
        <f>SKEW(A1:A101)</f>
        <v>-0.50807834208549241</v>
      </c>
      <c r="F72" s="12">
        <f>SUMPRODUCT((A2:A101-$E$69)^3)/COUNT(A2:A101)</f>
        <v>-3.7738560000000092</v>
      </c>
      <c r="G72" s="13" t="s">
        <v>15</v>
      </c>
    </row>
    <row r="73" spans="1:7" x14ac:dyDescent="0.25">
      <c r="A73" s="8">
        <v>14</v>
      </c>
      <c r="B73" s="8">
        <v>15</v>
      </c>
      <c r="D73" s="13" t="s">
        <v>13</v>
      </c>
      <c r="E73" s="12">
        <f>KURT(A1:A101)</f>
        <v>-0.29099947011939209</v>
      </c>
      <c r="F73" s="12">
        <f>SUMPRODUCT((A2:A101-$E$69)^4)/COUNT(A2:A101)</f>
        <v>39.39608192</v>
      </c>
      <c r="G73" s="13" t="s">
        <v>16</v>
      </c>
    </row>
    <row r="74" spans="1:7" x14ac:dyDescent="0.25">
      <c r="A74" s="8">
        <v>12</v>
      </c>
      <c r="B74" s="8">
        <v>15</v>
      </c>
      <c r="D74" s="13" t="s">
        <v>14</v>
      </c>
      <c r="E74" s="12">
        <f>_xlfn.STDEV.S(A2:A101)/ABS(E69)*100</f>
        <v>14.199563399706538</v>
      </c>
      <c r="F74" s="12">
        <f>F72/(F71^(3/2))</f>
        <v>-0.4384412316306272</v>
      </c>
      <c r="G74" s="13" t="s">
        <v>17</v>
      </c>
    </row>
    <row r="75" spans="1:7" x14ac:dyDescent="0.25">
      <c r="A75" s="8">
        <v>17</v>
      </c>
      <c r="B75" s="8">
        <v>15</v>
      </c>
      <c r="D75" s="13" t="s">
        <v>19</v>
      </c>
      <c r="E75" s="12">
        <f>PERCENTILE(A2:A101,0.25)</f>
        <v>12</v>
      </c>
      <c r="F75" s="12">
        <f>F73/(F71^2)-3</f>
        <v>-0.76666202267573702</v>
      </c>
      <c r="G75" s="13" t="s">
        <v>18</v>
      </c>
    </row>
    <row r="76" spans="1:7" x14ac:dyDescent="0.25">
      <c r="A76" s="8">
        <v>10</v>
      </c>
      <c r="B76" s="8">
        <v>15</v>
      </c>
      <c r="D76" s="13" t="s">
        <v>20</v>
      </c>
      <c r="E76" s="12">
        <f>PERCENTILE(A2:A101,0.5)</f>
        <v>14</v>
      </c>
      <c r="F76" s="28">
        <f>MEDIAN(A2:A101)</f>
        <v>14</v>
      </c>
      <c r="G76" s="29" t="s">
        <v>30</v>
      </c>
    </row>
    <row r="77" spans="1:7" x14ac:dyDescent="0.25">
      <c r="A77" s="8">
        <v>16</v>
      </c>
      <c r="B77" s="8">
        <v>15</v>
      </c>
      <c r="D77" s="13" t="s">
        <v>21</v>
      </c>
      <c r="E77" s="12">
        <f>PERCENTILE(A2:A101,0.75)</f>
        <v>15</v>
      </c>
      <c r="F77" s="15"/>
      <c r="G77" s="15"/>
    </row>
    <row r="78" spans="1:7" x14ac:dyDescent="0.25">
      <c r="A78" s="8">
        <v>12</v>
      </c>
      <c r="B78" s="8">
        <v>15</v>
      </c>
      <c r="D78" s="14" t="s">
        <v>22</v>
      </c>
      <c r="E78" s="12">
        <f>MODE(A2:A101)</f>
        <v>14</v>
      </c>
      <c r="F78" s="15"/>
      <c r="G78" s="15"/>
    </row>
    <row r="79" spans="1:7" x14ac:dyDescent="0.25">
      <c r="A79" s="8">
        <v>15</v>
      </c>
      <c r="B79" s="8">
        <v>15</v>
      </c>
      <c r="F79" s="15"/>
      <c r="G79" s="15"/>
    </row>
    <row r="80" spans="1:7" x14ac:dyDescent="0.25">
      <c r="A80" s="8">
        <v>14</v>
      </c>
      <c r="B80" s="8">
        <v>15</v>
      </c>
    </row>
    <row r="81" spans="1:2" x14ac:dyDescent="0.25">
      <c r="A81" s="8">
        <v>14</v>
      </c>
      <c r="B81" s="8">
        <v>15</v>
      </c>
    </row>
    <row r="82" spans="1:2" x14ac:dyDescent="0.25">
      <c r="A82" s="8">
        <v>15</v>
      </c>
      <c r="B82" s="8">
        <v>16</v>
      </c>
    </row>
    <row r="83" spans="1:2" x14ac:dyDescent="0.25">
      <c r="A83" s="8">
        <v>14</v>
      </c>
      <c r="B83" s="8">
        <v>16</v>
      </c>
    </row>
    <row r="84" spans="1:2" x14ac:dyDescent="0.25">
      <c r="A84" s="8">
        <v>14</v>
      </c>
      <c r="B84" s="8">
        <v>16</v>
      </c>
    </row>
    <row r="85" spans="1:2" x14ac:dyDescent="0.25">
      <c r="A85" s="8">
        <v>16</v>
      </c>
      <c r="B85" s="8">
        <v>16</v>
      </c>
    </row>
    <row r="86" spans="1:2" x14ac:dyDescent="0.25">
      <c r="A86" s="8">
        <v>14</v>
      </c>
      <c r="B86" s="8">
        <v>16</v>
      </c>
    </row>
    <row r="87" spans="1:2" x14ac:dyDescent="0.25">
      <c r="A87" s="8">
        <v>12</v>
      </c>
      <c r="B87" s="8">
        <v>16</v>
      </c>
    </row>
    <row r="88" spans="1:2" x14ac:dyDescent="0.25">
      <c r="A88" s="8">
        <v>14</v>
      </c>
      <c r="B88" s="8">
        <v>16</v>
      </c>
    </row>
    <row r="89" spans="1:2" x14ac:dyDescent="0.25">
      <c r="A89" s="8">
        <v>15</v>
      </c>
      <c r="B89" s="8">
        <v>16</v>
      </c>
    </row>
    <row r="90" spans="1:2" x14ac:dyDescent="0.25">
      <c r="A90" s="8">
        <v>14</v>
      </c>
      <c r="B90" s="8">
        <v>16</v>
      </c>
    </row>
    <row r="91" spans="1:2" x14ac:dyDescent="0.25">
      <c r="A91" s="8">
        <v>16</v>
      </c>
      <c r="B91" s="8">
        <v>16</v>
      </c>
    </row>
    <row r="92" spans="1:2" x14ac:dyDescent="0.25">
      <c r="A92" s="8">
        <v>16</v>
      </c>
      <c r="B92" s="8">
        <v>16</v>
      </c>
    </row>
    <row r="93" spans="1:2" x14ac:dyDescent="0.25">
      <c r="A93" s="8">
        <v>11</v>
      </c>
      <c r="B93" s="8">
        <v>16</v>
      </c>
    </row>
    <row r="94" spans="1:2" x14ac:dyDescent="0.25">
      <c r="A94" s="8">
        <v>13</v>
      </c>
      <c r="B94" s="8">
        <v>16</v>
      </c>
    </row>
    <row r="95" spans="1:2" x14ac:dyDescent="0.25">
      <c r="A95" s="8">
        <v>17</v>
      </c>
      <c r="B95" s="8">
        <v>16</v>
      </c>
    </row>
    <row r="96" spans="1:2" x14ac:dyDescent="0.25">
      <c r="A96" s="8">
        <v>15</v>
      </c>
      <c r="B96" s="8">
        <v>17</v>
      </c>
    </row>
    <row r="97" spans="1:2" x14ac:dyDescent="0.25">
      <c r="A97" s="8">
        <v>15</v>
      </c>
      <c r="B97" s="8">
        <v>17</v>
      </c>
    </row>
    <row r="98" spans="1:2" x14ac:dyDescent="0.25">
      <c r="A98" s="8">
        <v>14</v>
      </c>
      <c r="B98" s="8">
        <v>17</v>
      </c>
    </row>
    <row r="99" spans="1:2" x14ac:dyDescent="0.25">
      <c r="A99" s="8">
        <v>16</v>
      </c>
      <c r="B99" s="8">
        <v>17</v>
      </c>
    </row>
    <row r="100" spans="1:2" x14ac:dyDescent="0.25">
      <c r="A100" s="8">
        <v>18</v>
      </c>
      <c r="B100" s="8">
        <v>17</v>
      </c>
    </row>
    <row r="101" spans="1:2" x14ac:dyDescent="0.25">
      <c r="A101" s="8">
        <v>13</v>
      </c>
      <c r="B101" s="8">
        <v>18</v>
      </c>
    </row>
  </sheetData>
  <sortState xmlns:xlrd2="http://schemas.microsoft.com/office/spreadsheetml/2017/richdata2" ref="B2:B101">
    <sortCondition ref="B2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2EE5A-B523-43C0-9991-428F794F4BC7}">
  <dimension ref="A1:M101"/>
  <sheetViews>
    <sheetView topLeftCell="B13" zoomScale="79" zoomScaleNormal="85" workbookViewId="0">
      <selection activeCell="E12" sqref="E12"/>
    </sheetView>
  </sheetViews>
  <sheetFormatPr defaultRowHeight="15" x14ac:dyDescent="0.25"/>
  <cols>
    <col min="1" max="1" width="12.7109375" style="15" bestFit="1" customWidth="1"/>
    <col min="2" max="2" width="21" style="15" customWidth="1"/>
    <col min="3" max="3" width="20.5703125" style="15" bestFit="1" customWidth="1"/>
    <col min="4" max="4" width="20.5703125" style="17" bestFit="1" customWidth="1"/>
    <col min="5" max="5" width="23.42578125" bestFit="1" customWidth="1"/>
    <col min="6" max="6" width="27.28515625" bestFit="1" customWidth="1"/>
    <col min="7" max="7" width="27.85546875" customWidth="1"/>
    <col min="8" max="8" width="23.42578125" bestFit="1" customWidth="1"/>
    <col min="9" max="9" width="40.85546875" bestFit="1" customWidth="1"/>
    <col min="10" max="10" width="37" bestFit="1" customWidth="1"/>
    <col min="11" max="11" width="30.5703125" bestFit="1" customWidth="1"/>
    <col min="12" max="12" width="27.28515625" bestFit="1" customWidth="1"/>
    <col min="13" max="13" width="37" bestFit="1" customWidth="1"/>
  </cols>
  <sheetData>
    <row r="1" spans="1:13" ht="15.75" x14ac:dyDescent="0.25">
      <c r="A1" s="18" t="s">
        <v>23</v>
      </c>
      <c r="B1" s="9" t="s">
        <v>0</v>
      </c>
      <c r="C1" s="10" t="s">
        <v>1</v>
      </c>
      <c r="D1" s="19"/>
      <c r="E1" s="2" t="s">
        <v>3</v>
      </c>
      <c r="F1" s="30" t="s">
        <v>25</v>
      </c>
      <c r="G1" s="30"/>
      <c r="H1" s="2" t="s">
        <v>4</v>
      </c>
      <c r="I1" s="5" t="s">
        <v>2</v>
      </c>
      <c r="J1" s="6"/>
      <c r="K1" s="26" t="s">
        <v>29</v>
      </c>
      <c r="L1" s="24" t="s">
        <v>27</v>
      </c>
      <c r="M1" s="25" t="s">
        <v>28</v>
      </c>
    </row>
    <row r="2" spans="1:13" x14ac:dyDescent="0.25">
      <c r="A2">
        <v>-1.3103749552101362</v>
      </c>
      <c r="B2" s="15">
        <f t="shared" ref="B2:B33" si="0">A2^2</f>
        <v>1.7170825232419666</v>
      </c>
      <c r="C2" s="15">
        <v>8.7819502520297788E-5</v>
      </c>
      <c r="D2" s="16">
        <f>D3-D14</f>
        <v>0.8500898568560924</v>
      </c>
      <c r="E2" s="1">
        <f t="array" ref="E2:E10">FREQUENCY(C2:C101,D2:D10)</f>
        <v>61</v>
      </c>
      <c r="F2" s="21">
        <v>1.7000918942096637</v>
      </c>
      <c r="G2" s="1">
        <f t="array" ref="G2:G9">FREQUENCY(C2:C101,F2:F9)</f>
        <v>76</v>
      </c>
      <c r="H2" s="21">
        <f>G2/100</f>
        <v>0.76</v>
      </c>
      <c r="I2" s="21">
        <f>H2</f>
        <v>0.76</v>
      </c>
      <c r="J2" s="15"/>
      <c r="K2" s="27">
        <f>_xlfn.CHISQ.DIST(F2,1,TRUE)</f>
        <v>0.80772404020766608</v>
      </c>
      <c r="L2" s="22">
        <f>_xlfn.CHISQ.DIST(F2,1,FALSE)</f>
        <v>0.13076863885417722</v>
      </c>
      <c r="M2" s="25">
        <f>(G2/100)*$D$14</f>
        <v>0.64600154838871415</v>
      </c>
    </row>
    <row r="3" spans="1:13" x14ac:dyDescent="0.25">
      <c r="A3">
        <v>0.16177068573597353</v>
      </c>
      <c r="B3" s="15">
        <f t="shared" si="0"/>
        <v>2.616975476348711E-2</v>
      </c>
      <c r="C3" s="15">
        <v>1.0252738579589694E-3</v>
      </c>
      <c r="D3" s="16">
        <f>D4-D14</f>
        <v>1.7000918942096637</v>
      </c>
      <c r="E3" s="1">
        <v>15</v>
      </c>
      <c r="F3" s="21">
        <v>2.5500939315632349</v>
      </c>
      <c r="G3" s="1">
        <v>13</v>
      </c>
      <c r="H3" s="21">
        <f t="shared" ref="H3:H9" si="1">G3/100</f>
        <v>0.13</v>
      </c>
      <c r="I3" s="1">
        <f>I2+H3</f>
        <v>0.89</v>
      </c>
      <c r="J3" s="15"/>
      <c r="K3" s="27">
        <f t="shared" ref="K3:K9" si="2">_xlfn.CHISQ.DIST(F3,1,TRUE)</f>
        <v>0.88971230185629768</v>
      </c>
      <c r="L3" s="22">
        <f t="shared" ref="L3:L9" si="3">_xlfn.CHISQ.DIST(F3,1,FALSE)</f>
        <v>6.9804933151672008E-2</v>
      </c>
      <c r="M3" s="25">
        <f t="shared" ref="M3:M9" si="4">(G3/100)*$D$14</f>
        <v>0.11050026485596427</v>
      </c>
    </row>
    <row r="4" spans="1:13" x14ac:dyDescent="0.25">
      <c r="A4">
        <v>-4.1359271563123912E-2</v>
      </c>
      <c r="B4" s="15">
        <f t="shared" si="0"/>
        <v>1.7105893442322302E-3</v>
      </c>
      <c r="C4" s="15">
        <v>1.7105893442322302E-3</v>
      </c>
      <c r="D4" s="16">
        <f>D5-D14</f>
        <v>2.5500939315632349</v>
      </c>
      <c r="E4" s="1">
        <v>13</v>
      </c>
      <c r="F4" s="21">
        <v>3.4000959689168062</v>
      </c>
      <c r="G4" s="1">
        <v>6</v>
      </c>
      <c r="H4" s="21">
        <f t="shared" si="1"/>
        <v>0.06</v>
      </c>
      <c r="I4" s="1">
        <f t="shared" ref="I4:I9" si="5">I3+H4</f>
        <v>0.95</v>
      </c>
      <c r="J4" s="15"/>
      <c r="K4" s="27">
        <f t="shared" si="2"/>
        <v>0.93480737395902458</v>
      </c>
      <c r="L4" s="22">
        <f t="shared" si="3"/>
        <v>3.9522373632658876E-2</v>
      </c>
      <c r="M4" s="25">
        <f t="shared" si="4"/>
        <v>5.1000122241214273E-2</v>
      </c>
    </row>
    <row r="5" spans="1:13" x14ac:dyDescent="0.25">
      <c r="A5">
        <v>-1.0489566193427891</v>
      </c>
      <c r="B5" s="15">
        <f t="shared" si="0"/>
        <v>1.1003099892630528</v>
      </c>
      <c r="C5" s="15">
        <v>1.8925462746583841E-3</v>
      </c>
      <c r="D5" s="16">
        <f>D6-D14</f>
        <v>3.4000959689168062</v>
      </c>
      <c r="E5" s="1">
        <v>6</v>
      </c>
      <c r="F5" s="21">
        <v>4.2500980062703775</v>
      </c>
      <c r="G5" s="1">
        <v>1</v>
      </c>
      <c r="H5" s="21">
        <f t="shared" si="1"/>
        <v>0.01</v>
      </c>
      <c r="I5" s="1">
        <f t="shared" si="5"/>
        <v>0.96</v>
      </c>
      <c r="J5" s="15"/>
      <c r="K5" s="27">
        <f t="shared" si="2"/>
        <v>0.96075193459665675</v>
      </c>
      <c r="L5" s="22">
        <f t="shared" si="3"/>
        <v>2.3110723282014137E-2</v>
      </c>
      <c r="M5" s="25">
        <f t="shared" si="4"/>
        <v>8.5000203735357133E-3</v>
      </c>
    </row>
    <row r="6" spans="1:13" x14ac:dyDescent="0.25">
      <c r="A6">
        <v>-0.8899633030523546</v>
      </c>
      <c r="B6" s="15">
        <f t="shared" si="0"/>
        <v>0.79203468077985717</v>
      </c>
      <c r="C6" s="15">
        <v>2.3652749347135358E-3</v>
      </c>
      <c r="D6" s="16">
        <f>D7-D14</f>
        <v>4.2500980062703775</v>
      </c>
      <c r="E6" s="1">
        <v>1</v>
      </c>
      <c r="F6" s="21">
        <v>5.1001000436239483</v>
      </c>
      <c r="G6" s="1">
        <v>0</v>
      </c>
      <c r="H6" s="21">
        <f t="shared" si="1"/>
        <v>0</v>
      </c>
      <c r="I6" s="1">
        <f t="shared" si="5"/>
        <v>0.96</v>
      </c>
      <c r="J6" s="15"/>
      <c r="K6" s="27">
        <f t="shared" si="2"/>
        <v>0.97607553642845268</v>
      </c>
      <c r="L6" s="22">
        <f t="shared" si="3"/>
        <v>1.3792661095046736E-2</v>
      </c>
      <c r="M6" s="25">
        <f t="shared" si="4"/>
        <v>0</v>
      </c>
    </row>
    <row r="7" spans="1:13" x14ac:dyDescent="0.25">
      <c r="A7">
        <v>0.23551820049760863</v>
      </c>
      <c r="B7" s="15">
        <f t="shared" si="0"/>
        <v>5.5468822765631781E-2</v>
      </c>
      <c r="C7" s="15">
        <v>2.3802269416061195E-3</v>
      </c>
      <c r="D7" s="16">
        <f>D8-D14</f>
        <v>5.1001000436239483</v>
      </c>
      <c r="E7" s="1">
        <v>0</v>
      </c>
      <c r="F7" s="21">
        <v>5.9501020809775191</v>
      </c>
      <c r="G7" s="1">
        <v>1</v>
      </c>
      <c r="H7" s="21">
        <f t="shared" si="1"/>
        <v>0.01</v>
      </c>
      <c r="I7" s="1">
        <f t="shared" si="5"/>
        <v>0.97</v>
      </c>
      <c r="J7" s="15"/>
      <c r="K7" s="27">
        <f t="shared" si="2"/>
        <v>0.98528356611401369</v>
      </c>
      <c r="L7" s="22">
        <f t="shared" si="3"/>
        <v>8.3483299873941767E-3</v>
      </c>
      <c r="M7" s="25">
        <f t="shared" si="4"/>
        <v>8.5000203735357133E-3</v>
      </c>
    </row>
    <row r="8" spans="1:13" x14ac:dyDescent="0.25">
      <c r="A8">
        <v>-0.1301464180869516</v>
      </c>
      <c r="B8" s="15">
        <f t="shared" si="0"/>
        <v>1.6938090140863601E-2</v>
      </c>
      <c r="C8" s="15">
        <v>3.7359711834426155E-3</v>
      </c>
      <c r="D8" s="16">
        <f>D9-D14</f>
        <v>5.9501020809775191</v>
      </c>
      <c r="E8" s="1">
        <v>1</v>
      </c>
      <c r="F8" s="21">
        <v>6.80010411833109</v>
      </c>
      <c r="G8" s="1">
        <v>0</v>
      </c>
      <c r="H8" s="21">
        <f t="shared" si="1"/>
        <v>0</v>
      </c>
      <c r="I8" s="1">
        <f t="shared" si="5"/>
        <v>0.97</v>
      </c>
      <c r="J8" s="15"/>
      <c r="K8" s="27">
        <f t="shared" si="2"/>
        <v>0.99088474432745433</v>
      </c>
      <c r="L8" s="22">
        <f t="shared" si="3"/>
        <v>5.105384284165463E-3</v>
      </c>
      <c r="M8" s="25">
        <f t="shared" si="4"/>
        <v>0</v>
      </c>
    </row>
    <row r="9" spans="1:13" x14ac:dyDescent="0.25">
      <c r="A9">
        <v>-0.80452309703105129</v>
      </c>
      <c r="B9" s="15">
        <f t="shared" si="0"/>
        <v>0.64725741365643441</v>
      </c>
      <c r="C9" s="15">
        <v>9.0910269651643446E-3</v>
      </c>
      <c r="D9" s="16">
        <f>D10-D14</f>
        <v>6.80010411833109</v>
      </c>
      <c r="E9" s="1">
        <v>0</v>
      </c>
      <c r="F9" s="21">
        <v>7.6501061556846617</v>
      </c>
      <c r="G9" s="1">
        <v>3</v>
      </c>
      <c r="H9" s="21">
        <f t="shared" si="1"/>
        <v>0.03</v>
      </c>
      <c r="I9" s="1">
        <f t="shared" si="5"/>
        <v>1</v>
      </c>
      <c r="J9" s="15"/>
      <c r="K9" s="27">
        <f t="shared" si="2"/>
        <v>0.99432310192853401</v>
      </c>
      <c r="L9" s="22">
        <f t="shared" si="3"/>
        <v>3.1468561466853253E-3</v>
      </c>
      <c r="M9" s="25">
        <f t="shared" si="4"/>
        <v>2.5500061120607136E-2</v>
      </c>
    </row>
    <row r="10" spans="1:13" x14ac:dyDescent="0.25">
      <c r="A10">
        <v>0.80462996265850961</v>
      </c>
      <c r="B10" s="15">
        <f t="shared" si="0"/>
        <v>0.64742937680783452</v>
      </c>
      <c r="C10" s="15">
        <v>1.182149115949741E-2</v>
      </c>
      <c r="D10" s="16">
        <f>MAX(C2:C101)</f>
        <v>7.6501061556846617</v>
      </c>
      <c r="E10" s="1">
        <v>3</v>
      </c>
      <c r="F10" s="2"/>
      <c r="G10" s="2"/>
      <c r="H10" s="1"/>
      <c r="I10" s="23"/>
    </row>
    <row r="11" spans="1:13" x14ac:dyDescent="0.25">
      <c r="A11">
        <v>-0.23355255507340189</v>
      </c>
      <c r="B11" s="15">
        <f t="shared" si="0"/>
        <v>5.4546795981314421E-2</v>
      </c>
      <c r="C11" s="15">
        <v>1.4281795641577319E-2</v>
      </c>
      <c r="D11" s="16"/>
    </row>
    <row r="12" spans="1:13" x14ac:dyDescent="0.25">
      <c r="A12">
        <v>-1.1246197573200334</v>
      </c>
      <c r="B12" s="15">
        <f t="shared" si="0"/>
        <v>1.2647695985545708</v>
      </c>
      <c r="C12" s="15">
        <v>1.487725037234564E-2</v>
      </c>
      <c r="D12" s="16"/>
    </row>
    <row r="13" spans="1:13" x14ac:dyDescent="0.25">
      <c r="A13">
        <v>0.85669398686150089</v>
      </c>
      <c r="B13" s="15">
        <f t="shared" si="0"/>
        <v>0.73392458712465347</v>
      </c>
      <c r="C13" s="15">
        <v>1.6938090140863601E-2</v>
      </c>
      <c r="D13" s="20" t="s">
        <v>24</v>
      </c>
    </row>
    <row r="14" spans="1:13" x14ac:dyDescent="0.25">
      <c r="A14">
        <v>-1.8028367776423693</v>
      </c>
      <c r="B14" s="15">
        <f t="shared" si="0"/>
        <v>3.2502204468199216</v>
      </c>
      <c r="C14" s="15">
        <v>1.7936613374600806E-2</v>
      </c>
      <c r="D14" s="19">
        <f>(C101-C2)/9</f>
        <v>0.85000203735357127</v>
      </c>
    </row>
    <row r="15" spans="1:13" x14ac:dyDescent="0.25">
      <c r="A15">
        <v>0.66155735112261027</v>
      </c>
      <c r="B15" s="15">
        <f t="shared" si="0"/>
        <v>0.43765812882436467</v>
      </c>
      <c r="C15" s="15">
        <v>2.0350233323532113E-2</v>
      </c>
      <c r="D15" s="16"/>
    </row>
    <row r="16" spans="1:13" x14ac:dyDescent="0.25">
      <c r="A16">
        <v>-0.22640506358584389</v>
      </c>
      <c r="B16" s="15">
        <f t="shared" si="0"/>
        <v>5.1259252817310016E-2</v>
      </c>
      <c r="C16" s="15">
        <v>2.4179102163040839E-2</v>
      </c>
      <c r="D16" s="16"/>
    </row>
    <row r="17" spans="1:4" x14ac:dyDescent="0.25">
      <c r="A17">
        <v>9.3712060333928093E-3</v>
      </c>
      <c r="B17" s="15">
        <f t="shared" si="0"/>
        <v>8.7819502520297788E-5</v>
      </c>
      <c r="C17" s="15">
        <v>2.616975476348711E-2</v>
      </c>
      <c r="D17" s="16"/>
    </row>
    <row r="18" spans="1:4" x14ac:dyDescent="0.25">
      <c r="A18">
        <v>-1.6815602066344582</v>
      </c>
      <c r="B18" s="15">
        <f t="shared" si="0"/>
        <v>2.8276447285365216</v>
      </c>
      <c r="C18" s="15">
        <v>2.9480531929048332E-2</v>
      </c>
      <c r="D18" s="16"/>
    </row>
    <row r="19" spans="1:4" x14ac:dyDescent="0.25">
      <c r="A19">
        <v>-0.83981376519659534</v>
      </c>
      <c r="B19" s="15">
        <f t="shared" si="0"/>
        <v>0.70528716021368221</v>
      </c>
      <c r="C19" s="15">
        <v>4.2036697084327487E-2</v>
      </c>
      <c r="D19" s="16"/>
    </row>
    <row r="20" spans="1:4" x14ac:dyDescent="0.25">
      <c r="A20">
        <v>-1.0655435289663728</v>
      </c>
      <c r="B20" s="15">
        <f t="shared" si="0"/>
        <v>1.1353830121221113</v>
      </c>
      <c r="C20" s="15">
        <v>4.6309121032625626E-2</v>
      </c>
      <c r="D20" s="16"/>
    </row>
    <row r="21" spans="1:4" x14ac:dyDescent="0.25">
      <c r="A21">
        <v>-0.39990027289604768</v>
      </c>
      <c r="B21" s="15">
        <f t="shared" si="0"/>
        <v>0.1599202282623334</v>
      </c>
      <c r="C21" s="15">
        <v>5.1259252817310016E-2</v>
      </c>
      <c r="D21" s="16"/>
    </row>
    <row r="22" spans="1:4" x14ac:dyDescent="0.25">
      <c r="A22">
        <v>-0.21519554138649255</v>
      </c>
      <c r="B22" s="15">
        <f t="shared" si="0"/>
        <v>4.6309121032625626E-2</v>
      </c>
      <c r="C22" s="15">
        <v>5.4546795981314421E-2</v>
      </c>
      <c r="D22" s="16"/>
    </row>
    <row r="23" spans="1:4" x14ac:dyDescent="0.25">
      <c r="A23">
        <v>-0.27328951546223834</v>
      </c>
      <c r="B23" s="15">
        <f t="shared" si="0"/>
        <v>7.4687159261585007E-2</v>
      </c>
      <c r="C23" s="15">
        <v>5.5468822765631781E-2</v>
      </c>
      <c r="D23" s="16"/>
    </row>
    <row r="24" spans="1:4" x14ac:dyDescent="0.25">
      <c r="A24">
        <v>0.72031980380415916</v>
      </c>
      <c r="B24" s="15">
        <f t="shared" si="0"/>
        <v>0.51886061975246234</v>
      </c>
      <c r="C24" s="15">
        <v>5.7980303769667126E-2</v>
      </c>
      <c r="D24" s="16"/>
    </row>
    <row r="25" spans="1:4" x14ac:dyDescent="0.25">
      <c r="A25">
        <v>0.32860498322406784</v>
      </c>
      <c r="B25" s="15">
        <f t="shared" si="0"/>
        <v>0.10798123499968991</v>
      </c>
      <c r="C25" s="15">
        <v>7.4687159261585007E-2</v>
      </c>
      <c r="D25" s="16"/>
    </row>
    <row r="26" spans="1:4" x14ac:dyDescent="0.25">
      <c r="A26">
        <v>1.3513590602087788</v>
      </c>
      <c r="B26" s="15">
        <f t="shared" si="0"/>
        <v>1.8261713096083538</v>
      </c>
      <c r="C26" s="15">
        <v>8.3871548592883594E-2</v>
      </c>
      <c r="D26" s="16"/>
    </row>
    <row r="27" spans="1:4" x14ac:dyDescent="0.25">
      <c r="A27">
        <v>-4.8634092308930121E-2</v>
      </c>
      <c r="B27" s="15">
        <f t="shared" si="0"/>
        <v>2.3652749347135358E-3</v>
      </c>
      <c r="C27" s="15">
        <v>0.10798123499968991</v>
      </c>
      <c r="D27" s="16"/>
    </row>
    <row r="28" spans="1:4" x14ac:dyDescent="0.25">
      <c r="A28">
        <v>1.1835800250992179</v>
      </c>
      <c r="B28" s="15">
        <f t="shared" si="0"/>
        <v>1.4008616758138652</v>
      </c>
      <c r="C28" s="15">
        <v>0.12023357132250224</v>
      </c>
      <c r="D28" s="16"/>
    </row>
    <row r="29" spans="1:4" x14ac:dyDescent="0.25">
      <c r="A29">
        <v>0.74654735726653598</v>
      </c>
      <c r="B29" s="15">
        <f t="shared" si="0"/>
        <v>0.55733295664164895</v>
      </c>
      <c r="C29" s="15">
        <v>0.12902655003759708</v>
      </c>
      <c r="D29" s="16"/>
    </row>
    <row r="30" spans="1:4" x14ac:dyDescent="0.25">
      <c r="A30">
        <v>-1.5030855138320476</v>
      </c>
      <c r="B30" s="15">
        <f t="shared" si="0"/>
        <v>2.2592660618917506</v>
      </c>
      <c r="C30" s="15">
        <v>0.13203640841018102</v>
      </c>
      <c r="D30" s="16"/>
    </row>
    <row r="31" spans="1:4" x14ac:dyDescent="0.25">
      <c r="A31">
        <v>-1.7102365745813586</v>
      </c>
      <c r="B31" s="15">
        <f t="shared" si="0"/>
        <v>2.924909141035779</v>
      </c>
      <c r="C31" s="15">
        <v>0.13430324315350181</v>
      </c>
      <c r="D31" s="16"/>
    </row>
    <row r="32" spans="1:4" x14ac:dyDescent="0.25">
      <c r="A32">
        <v>0.71112935984274372</v>
      </c>
      <c r="B32" s="15">
        <f t="shared" si="0"/>
        <v>0.50570496643035046</v>
      </c>
      <c r="C32" s="15">
        <v>0.15754501328043705</v>
      </c>
      <c r="D32" s="16"/>
    </row>
    <row r="33" spans="1:4" x14ac:dyDescent="0.25">
      <c r="A33">
        <v>-6.1122591432649642E-2</v>
      </c>
      <c r="B33" s="15">
        <f t="shared" si="0"/>
        <v>3.7359711834426155E-3</v>
      </c>
      <c r="C33" s="15">
        <v>0.1599202282623334</v>
      </c>
      <c r="D33" s="16"/>
    </row>
    <row r="34" spans="1:4" x14ac:dyDescent="0.25">
      <c r="A34">
        <v>0.77971208156668581</v>
      </c>
      <c r="B34" s="15">
        <f t="shared" ref="B34:B65" si="6">A34^2</f>
        <v>0.60795093014105406</v>
      </c>
      <c r="C34" s="15">
        <v>0.19124208048902383</v>
      </c>
      <c r="D34" s="16"/>
    </row>
    <row r="35" spans="1:4" x14ac:dyDescent="0.25">
      <c r="A35">
        <v>1.0739495337475091</v>
      </c>
      <c r="B35" s="15">
        <f t="shared" si="6"/>
        <v>1.1533676010364922</v>
      </c>
      <c r="C35" s="15">
        <v>0.20461510441153677</v>
      </c>
      <c r="D35" s="16"/>
    </row>
    <row r="36" spans="1:4" x14ac:dyDescent="0.25">
      <c r="A36">
        <v>-1.2194777809781954</v>
      </c>
      <c r="B36" s="15">
        <f t="shared" si="6"/>
        <v>1.4871260582995034</v>
      </c>
      <c r="C36" s="15">
        <v>0.23845551809634094</v>
      </c>
      <c r="D36" s="16"/>
    </row>
    <row r="37" spans="1:4" x14ac:dyDescent="0.25">
      <c r="A37">
        <v>2.7454370865598321</v>
      </c>
      <c r="B37" s="15">
        <f t="shared" si="6"/>
        <v>7.5374247962581391</v>
      </c>
      <c r="C37" s="15">
        <v>0.2615936880249386</v>
      </c>
      <c r="D37" s="16"/>
    </row>
    <row r="38" spans="1:4" x14ac:dyDescent="0.25">
      <c r="A38">
        <v>0.35920265872846358</v>
      </c>
      <c r="B38" s="15">
        <f t="shared" si="6"/>
        <v>0.12902655003759708</v>
      </c>
      <c r="C38" s="15">
        <v>0.36081958233409173</v>
      </c>
      <c r="D38" s="16"/>
    </row>
    <row r="39" spans="1:4" x14ac:dyDescent="0.25">
      <c r="A39">
        <v>0.28960585041204467</v>
      </c>
      <c r="B39" s="15">
        <f t="shared" si="6"/>
        <v>8.3871548592883594E-2</v>
      </c>
      <c r="C39" s="15">
        <v>0.37272901894857485</v>
      </c>
      <c r="D39" s="16"/>
    </row>
    <row r="40" spans="1:4" x14ac:dyDescent="0.25">
      <c r="A40">
        <v>-1.4793658920098096</v>
      </c>
      <c r="B40" s="15">
        <f t="shared" si="6"/>
        <v>2.1885234424419795</v>
      </c>
      <c r="C40" s="15">
        <v>0.39266860910566292</v>
      </c>
      <c r="D40" s="16"/>
    </row>
    <row r="41" spans="1:4" x14ac:dyDescent="0.25">
      <c r="A41">
        <v>0.88068077275238466</v>
      </c>
      <c r="B41" s="15">
        <f t="shared" si="6"/>
        <v>0.77559862349573738</v>
      </c>
      <c r="C41" s="15">
        <v>0.40756242958071875</v>
      </c>
      <c r="D41" s="16"/>
    </row>
    <row r="42" spans="1:4" x14ac:dyDescent="0.25">
      <c r="A42">
        <v>-1.6461399354739115</v>
      </c>
      <c r="B42" s="15">
        <f t="shared" si="6"/>
        <v>2.7097766871620532</v>
      </c>
      <c r="C42" s="15">
        <v>0.43765812882436467</v>
      </c>
      <c r="D42" s="16"/>
    </row>
    <row r="43" spans="1:4" x14ac:dyDescent="0.25">
      <c r="A43">
        <v>-1.3769658835371956</v>
      </c>
      <c r="B43" s="15">
        <f t="shared" si="6"/>
        <v>1.8960350444253697</v>
      </c>
      <c r="C43" s="15">
        <v>0.49252514160990235</v>
      </c>
      <c r="D43" s="16"/>
    </row>
    <row r="44" spans="1:4" x14ac:dyDescent="0.25">
      <c r="A44">
        <v>0.86001136878621764</v>
      </c>
      <c r="B44" s="15">
        <f t="shared" si="6"/>
        <v>0.7396195544415437</v>
      </c>
      <c r="C44" s="15">
        <v>0.50570496643035046</v>
      </c>
      <c r="D44" s="16"/>
    </row>
    <row r="45" spans="1:4" x14ac:dyDescent="0.25">
      <c r="A45">
        <v>-0.17169895727420226</v>
      </c>
      <c r="B45" s="15">
        <f t="shared" si="6"/>
        <v>2.9480531929048332E-2</v>
      </c>
      <c r="C45" s="15">
        <v>0.51886061975246234</v>
      </c>
      <c r="D45" s="16"/>
    </row>
    <row r="46" spans="1:4" x14ac:dyDescent="0.25">
      <c r="A46">
        <v>1.2839382179663517</v>
      </c>
      <c r="B46" s="15">
        <f t="shared" si="6"/>
        <v>1.6484973475546107</v>
      </c>
      <c r="C46" s="15">
        <v>0.55733295664164895</v>
      </c>
      <c r="D46" s="16"/>
    </row>
    <row r="47" spans="1:4" x14ac:dyDescent="0.25">
      <c r="A47">
        <v>0.83926806837553158</v>
      </c>
      <c r="B47" s="15">
        <f t="shared" si="6"/>
        <v>0.70437089059479596</v>
      </c>
      <c r="C47" s="15">
        <v>0.57058644989473994</v>
      </c>
      <c r="D47" s="16"/>
    </row>
    <row r="48" spans="1:4" x14ac:dyDescent="0.25">
      <c r="A48">
        <v>0.34674712878768332</v>
      </c>
      <c r="B48" s="15">
        <f t="shared" si="6"/>
        <v>0.12023357132250224</v>
      </c>
      <c r="C48" s="15">
        <v>0.60682037154177981</v>
      </c>
      <c r="D48" s="16"/>
    </row>
    <row r="49" spans="1:4" x14ac:dyDescent="0.25">
      <c r="A49">
        <v>0.48831907406565733</v>
      </c>
      <c r="B49" s="15">
        <f t="shared" si="6"/>
        <v>0.23845551809634094</v>
      </c>
      <c r="C49" s="15">
        <v>0.60795093014105406</v>
      </c>
      <c r="D49" s="16"/>
    </row>
    <row r="50" spans="1:4" x14ac:dyDescent="0.25">
      <c r="A50">
        <v>1.1331553650961723</v>
      </c>
      <c r="B50" s="15">
        <f t="shared" si="6"/>
        <v>1.2840410814462395</v>
      </c>
      <c r="C50" s="15">
        <v>0.61509871423979601</v>
      </c>
      <c r="D50" s="16"/>
    </row>
    <row r="51" spans="1:4" x14ac:dyDescent="0.25">
      <c r="A51">
        <v>0.63840616348898038</v>
      </c>
      <c r="B51" s="15">
        <f t="shared" si="6"/>
        <v>0.40756242958071875</v>
      </c>
      <c r="C51" s="15">
        <v>0.64725741365643441</v>
      </c>
      <c r="D51" s="16"/>
    </row>
    <row r="52" spans="1:4" x14ac:dyDescent="0.25">
      <c r="A52">
        <v>-1.4846409612800926</v>
      </c>
      <c r="B52" s="15">
        <f t="shared" si="6"/>
        <v>2.2041587839106773</v>
      </c>
      <c r="C52" s="15">
        <v>0.64742937680783452</v>
      </c>
      <c r="D52" s="16"/>
    </row>
    <row r="53" spans="1:4" x14ac:dyDescent="0.25">
      <c r="A53">
        <v>-0.78428229244309478</v>
      </c>
      <c r="B53" s="15">
        <f t="shared" si="6"/>
        <v>0.61509871423979601</v>
      </c>
      <c r="C53" s="15">
        <v>0.70437089059479596</v>
      </c>
      <c r="D53" s="16"/>
    </row>
    <row r="54" spans="1:4" x14ac:dyDescent="0.25">
      <c r="A54">
        <v>-1.5777322914800607</v>
      </c>
      <c r="B54" s="15">
        <f t="shared" si="6"/>
        <v>2.4892391835789232</v>
      </c>
      <c r="C54" s="15">
        <v>0.70528716021368221</v>
      </c>
      <c r="D54" s="16"/>
    </row>
    <row r="55" spans="1:4" x14ac:dyDescent="0.25">
      <c r="A55">
        <v>-1.3949556887382641</v>
      </c>
      <c r="B55" s="15">
        <f t="shared" si="6"/>
        <v>1.9459013735432449</v>
      </c>
      <c r="C55" s="15">
        <v>0.73392458712465347</v>
      </c>
      <c r="D55" s="16"/>
    </row>
    <row r="56" spans="1:4" x14ac:dyDescent="0.25">
      <c r="A56">
        <v>0.45234401113702916</v>
      </c>
      <c r="B56" s="15">
        <f t="shared" si="6"/>
        <v>0.20461510441153677</v>
      </c>
      <c r="C56" s="15">
        <v>0.7396195544415437</v>
      </c>
      <c r="D56" s="16"/>
    </row>
    <row r="57" spans="1:4" x14ac:dyDescent="0.25">
      <c r="A57">
        <v>-4.8787569539854303E-2</v>
      </c>
      <c r="B57" s="15">
        <f t="shared" si="6"/>
        <v>2.3802269416061195E-3</v>
      </c>
      <c r="C57" s="15">
        <v>0.75693542329830532</v>
      </c>
      <c r="D57" s="16"/>
    </row>
    <row r="58" spans="1:4" x14ac:dyDescent="0.25">
      <c r="A58">
        <v>-1.5316300050471909</v>
      </c>
      <c r="B58" s="15">
        <f t="shared" si="6"/>
        <v>2.3458904723608582</v>
      </c>
      <c r="C58" s="15">
        <v>0.76161116738308454</v>
      </c>
      <c r="D58" s="16"/>
    </row>
    <row r="59" spans="1:4" x14ac:dyDescent="0.25">
      <c r="A59">
        <v>0.12197233445476741</v>
      </c>
      <c r="B59" s="15">
        <f t="shared" si="6"/>
        <v>1.487725037234564E-2</v>
      </c>
      <c r="C59" s="15">
        <v>0.76552922862650297</v>
      </c>
      <c r="D59" s="16"/>
    </row>
    <row r="60" spans="1:4" x14ac:dyDescent="0.25">
      <c r="A60">
        <v>-0.87002035797922872</v>
      </c>
      <c r="B60" s="15">
        <f t="shared" si="6"/>
        <v>0.75693542329830532</v>
      </c>
      <c r="C60" s="15">
        <v>0.77559862349573738</v>
      </c>
      <c r="D60" s="16"/>
    </row>
    <row r="61" spans="1:4" x14ac:dyDescent="0.25">
      <c r="A61">
        <v>-1.5215709936455823</v>
      </c>
      <c r="B61" s="15">
        <f t="shared" si="6"/>
        <v>2.315178288703605</v>
      </c>
      <c r="C61" s="15">
        <v>0.79203468077985717</v>
      </c>
      <c r="D61" s="16"/>
    </row>
    <row r="62" spans="1:4" x14ac:dyDescent="0.25">
      <c r="A62">
        <v>-0.75537172961048782</v>
      </c>
      <c r="B62" s="15">
        <f t="shared" si="6"/>
        <v>0.57058644989473994</v>
      </c>
      <c r="C62" s="15">
        <v>0.81894183165998247</v>
      </c>
      <c r="D62" s="16"/>
    </row>
    <row r="63" spans="1:4" x14ac:dyDescent="0.25">
      <c r="A63">
        <v>-0.36647406886913814</v>
      </c>
      <c r="B63" s="15">
        <f t="shared" si="6"/>
        <v>0.13430324315350181</v>
      </c>
      <c r="C63" s="15">
        <v>0.85228290014390207</v>
      </c>
      <c r="D63" s="16"/>
    </row>
    <row r="64" spans="1:4" x14ac:dyDescent="0.25">
      <c r="A64">
        <v>0.7789867595420219</v>
      </c>
      <c r="B64" s="15">
        <f t="shared" si="6"/>
        <v>0.60682037154177981</v>
      </c>
      <c r="C64" s="15">
        <v>0.86206741554433475</v>
      </c>
      <c r="D64" s="16"/>
    </row>
    <row r="65" spans="1:9" x14ac:dyDescent="0.25">
      <c r="A65">
        <v>0.11950646694458555</v>
      </c>
      <c r="B65" s="15">
        <f t="shared" si="6"/>
        <v>1.4281795641577319E-2</v>
      </c>
      <c r="C65" s="15">
        <v>0.86711188126531169</v>
      </c>
      <c r="D65" s="16"/>
    </row>
    <row r="66" spans="1:9" x14ac:dyDescent="0.25">
      <c r="A66">
        <v>-1.1800420907093212</v>
      </c>
      <c r="B66" s="15">
        <f t="shared" ref="B66:B97" si="7">A66^2</f>
        <v>1.3924993358456259</v>
      </c>
      <c r="C66" s="15">
        <v>0.88710707530579935</v>
      </c>
      <c r="D66" s="16"/>
    </row>
    <row r="67" spans="1:9" x14ac:dyDescent="0.25">
      <c r="A67">
        <v>-0.43731233745347708</v>
      </c>
      <c r="B67" s="15">
        <f t="shared" si="7"/>
        <v>0.19124208048902383</v>
      </c>
      <c r="C67" s="15">
        <v>1.0418906541565258</v>
      </c>
      <c r="D67" s="16"/>
    </row>
    <row r="68" spans="1:9" x14ac:dyDescent="0.25">
      <c r="A68">
        <v>0.93118842414696701</v>
      </c>
      <c r="B68" s="15">
        <f t="shared" si="7"/>
        <v>0.86711188126531169</v>
      </c>
      <c r="C68" s="15">
        <v>1.1003099892630528</v>
      </c>
      <c r="D68" s="16"/>
    </row>
    <row r="69" spans="1:9" x14ac:dyDescent="0.25">
      <c r="A69">
        <v>0.62663275457452983</v>
      </c>
      <c r="B69" s="15">
        <f t="shared" si="7"/>
        <v>0.39266860910566292</v>
      </c>
      <c r="C69" s="15">
        <v>1.1353830121221113</v>
      </c>
      <c r="D69" s="16"/>
    </row>
    <row r="70" spans="1:9" x14ac:dyDescent="0.25">
      <c r="A70">
        <v>-2.7658825274556875</v>
      </c>
      <c r="B70" s="15">
        <f t="shared" si="7"/>
        <v>7.6501061556846617</v>
      </c>
      <c r="C70" s="15">
        <v>1.1533676010364922</v>
      </c>
      <c r="D70" s="16"/>
    </row>
    <row r="71" spans="1:9" x14ac:dyDescent="0.25">
      <c r="A71">
        <v>-0.87494527178932913</v>
      </c>
      <c r="B71" s="15">
        <f t="shared" si="7"/>
        <v>0.76552922862650297</v>
      </c>
      <c r="C71" s="15">
        <v>1.2490110671193477</v>
      </c>
      <c r="D71" s="16"/>
      <c r="F71" s="11" t="s">
        <v>7</v>
      </c>
      <c r="G71" s="12">
        <f>AVERAGE($B$2:$B$101)</f>
        <v>1.1334288670422543</v>
      </c>
      <c r="H71" s="12">
        <v>1</v>
      </c>
      <c r="I71" s="11" t="s">
        <v>8</v>
      </c>
    </row>
    <row r="72" spans="1:9" x14ac:dyDescent="0.25">
      <c r="A72">
        <v>-0.94186361820902675</v>
      </c>
      <c r="B72" s="15">
        <f t="shared" si="7"/>
        <v>0.88710707530579935</v>
      </c>
      <c r="C72" s="15">
        <v>1.2647695985545708</v>
      </c>
      <c r="D72" s="16"/>
      <c r="F72" s="11" t="s">
        <v>11</v>
      </c>
      <c r="G72" s="12">
        <f>SUMPRODUCT((B2:B101 - AVERAGE(B2:B101))^2) / COUNT(B2:B101)</f>
        <v>2.3219925473464547</v>
      </c>
      <c r="H72" s="15"/>
      <c r="I72" s="15"/>
    </row>
    <row r="73" spans="1:9" x14ac:dyDescent="0.25">
      <c r="A73">
        <v>3.2019897844293155E-2</v>
      </c>
      <c r="B73" s="15">
        <f t="shared" si="7"/>
        <v>1.0252738579589694E-3</v>
      </c>
      <c r="C73" s="15">
        <v>1.2840410814462395</v>
      </c>
      <c r="D73" s="16"/>
      <c r="F73" s="11" t="s">
        <v>10</v>
      </c>
      <c r="G73" s="12">
        <f>SUMPRODUCT((B2:B101 - AVERAGE(B2:B101))^2) / (COUNT(B2:B101)-1)</f>
        <v>2.3454470175216713</v>
      </c>
      <c r="H73" s="12">
        <v>2</v>
      </c>
      <c r="I73" s="13" t="s">
        <v>9</v>
      </c>
    </row>
    <row r="74" spans="1:9" x14ac:dyDescent="0.25">
      <c r="A74">
        <v>-0.36336814446258359</v>
      </c>
      <c r="B74" s="15">
        <f t="shared" si="7"/>
        <v>0.13203640841018102</v>
      </c>
      <c r="C74" s="15">
        <v>1.3924993358456259</v>
      </c>
      <c r="D74" s="16"/>
      <c r="F74" s="13" t="s">
        <v>12</v>
      </c>
      <c r="G74" s="12">
        <f>SKEW(B2:B101)</f>
        <v>2.5244230979716953</v>
      </c>
      <c r="H74" s="12">
        <f>SUMPRODUCT((B2:B101-G71)^3)/COUNT(B2:B101)</f>
        <v>8.7975522704809155</v>
      </c>
      <c r="I74" s="13" t="s">
        <v>15</v>
      </c>
    </row>
    <row r="75" spans="1:9" x14ac:dyDescent="0.25">
      <c r="A75">
        <v>0.14265424397308379</v>
      </c>
      <c r="B75" s="15">
        <f t="shared" si="7"/>
        <v>2.0350233323532113E-2</v>
      </c>
      <c r="C75" s="15">
        <v>1.4008616758138652</v>
      </c>
      <c r="D75" s="16"/>
      <c r="F75" s="13" t="s">
        <v>13</v>
      </c>
      <c r="G75" s="12">
        <f>KURT(B2:B101)</f>
        <v>7.5011877485860783</v>
      </c>
      <c r="H75" s="12">
        <f>SUMPRODUCT((B2:B101-G71)^4)/COUNT(B2:B101)</f>
        <v>54.304349031742134</v>
      </c>
      <c r="I75" s="13" t="s">
        <v>16</v>
      </c>
    </row>
    <row r="76" spans="1:9" x14ac:dyDescent="0.25">
      <c r="A76">
        <v>-0.60068259699619375</v>
      </c>
      <c r="B76" s="15">
        <f t="shared" si="7"/>
        <v>0.36081958233409173</v>
      </c>
      <c r="C76" s="15">
        <v>1.4871260582995034</v>
      </c>
      <c r="D76" s="16"/>
      <c r="F76" s="13" t="s">
        <v>14</v>
      </c>
      <c r="G76" s="12">
        <f>_xlfn.STDEV.S(B2:B101)/ABS(G71)*100</f>
        <v>135.11966009366395</v>
      </c>
      <c r="H76" s="12">
        <f>H74/(H73^(3/2))</f>
        <v>3.1104044341500816</v>
      </c>
      <c r="I76" s="13" t="s">
        <v>17</v>
      </c>
    </row>
    <row r="77" spans="1:9" x14ac:dyDescent="0.25">
      <c r="A77">
        <v>-1.1175916370120831</v>
      </c>
      <c r="B77" s="15">
        <f t="shared" si="7"/>
        <v>1.2490110671193477</v>
      </c>
      <c r="C77" s="15">
        <v>1.6484973475546107</v>
      </c>
      <c r="D77" s="16"/>
      <c r="F77" s="13" t="s">
        <v>19</v>
      </c>
      <c r="G77" s="12">
        <f>PERCENTILE(B2:B101,0.25)</f>
        <v>0.10195381339798833</v>
      </c>
      <c r="H77" s="12">
        <f>H75/(H73^2)-3</f>
        <v>10.576087257935534</v>
      </c>
      <c r="I77" s="13" t="s">
        <v>18</v>
      </c>
    </row>
    <row r="78" spans="1:9" x14ac:dyDescent="0.25">
      <c r="A78">
        <v>-0.90495404947432689</v>
      </c>
      <c r="B78" s="15">
        <f t="shared" si="7"/>
        <v>0.81894183165998247</v>
      </c>
      <c r="C78" s="15">
        <v>1.7170825232419666</v>
      </c>
      <c r="D78" s="16"/>
      <c r="F78" s="13" t="s">
        <v>20</v>
      </c>
      <c r="G78" s="12">
        <f>PERCENTILE(B2:B101,0.5)</f>
        <v>0.64734339523213447</v>
      </c>
      <c r="H78" s="28">
        <f>MEDIAN(B2:B101)</f>
        <v>0.64734339523213447</v>
      </c>
      <c r="I78" s="29" t="s">
        <v>30</v>
      </c>
    </row>
    <row r="79" spans="1:9" x14ac:dyDescent="0.25">
      <c r="A79">
        <v>0.51146230362064671</v>
      </c>
      <c r="B79" s="15">
        <f t="shared" si="7"/>
        <v>0.2615936880249386</v>
      </c>
      <c r="C79" s="15">
        <v>1.8261713096083538</v>
      </c>
      <c r="D79" s="16"/>
      <c r="F79" s="13" t="s">
        <v>21</v>
      </c>
      <c r="G79" s="12">
        <f>PERCENTILE(B2:B101,0.75)</f>
        <v>1.5274688806132803</v>
      </c>
      <c r="H79" s="15"/>
      <c r="I79" s="15"/>
    </row>
    <row r="80" spans="1:9" x14ac:dyDescent="0.25">
      <c r="A80">
        <v>-1.6901140043046325</v>
      </c>
      <c r="B80" s="15">
        <f t="shared" si="7"/>
        <v>2.8564853475466396</v>
      </c>
      <c r="C80" s="15">
        <v>1.8960350444253697</v>
      </c>
      <c r="D80" s="16"/>
      <c r="F80" s="14" t="s">
        <v>22</v>
      </c>
      <c r="G80" s="28">
        <v>1.1353830121221113</v>
      </c>
      <c r="H80" s="15"/>
      <c r="I80" s="15"/>
    </row>
    <row r="81" spans="1:9" x14ac:dyDescent="0.25">
      <c r="A81">
        <v>-0.92319169198162854</v>
      </c>
      <c r="B81" s="15">
        <f t="shared" si="7"/>
        <v>0.85228290014390207</v>
      </c>
      <c r="C81" s="15">
        <v>1.9459013735432449</v>
      </c>
      <c r="D81" s="16"/>
      <c r="H81" s="15"/>
      <c r="I81" s="15"/>
    </row>
    <row r="82" spans="1:9" x14ac:dyDescent="0.25">
      <c r="A82">
        <v>-0.87270336734945886</v>
      </c>
      <c r="B82" s="15">
        <f t="shared" si="7"/>
        <v>0.76161116738308454</v>
      </c>
      <c r="C82" s="15">
        <v>2.1885234424419795</v>
      </c>
      <c r="D82" s="16"/>
    </row>
    <row r="83" spans="1:9" x14ac:dyDescent="0.25">
      <c r="A83">
        <v>0.10872668099182192</v>
      </c>
      <c r="B83" s="15">
        <f t="shared" si="7"/>
        <v>1.182149115949741E-2</v>
      </c>
      <c r="C83" s="15">
        <v>2.2041587839106773</v>
      </c>
      <c r="D83" s="16"/>
    </row>
    <row r="84" spans="1:9" x14ac:dyDescent="0.25">
      <c r="A84">
        <v>1.5331124814110808</v>
      </c>
      <c r="B84" s="15">
        <f t="shared" si="7"/>
        <v>2.3504338806584415</v>
      </c>
      <c r="C84" s="15">
        <v>2.2324834108393299</v>
      </c>
      <c r="D84" s="16"/>
    </row>
    <row r="85" spans="1:9" x14ac:dyDescent="0.25">
      <c r="A85">
        <v>-1.9286562746856362</v>
      </c>
      <c r="B85" s="15">
        <f t="shared" si="7"/>
        <v>3.7197150258842759</v>
      </c>
      <c r="C85" s="15">
        <v>2.2592660618917506</v>
      </c>
      <c r="D85" s="16"/>
    </row>
    <row r="86" spans="1:9" x14ac:dyDescent="0.25">
      <c r="A86">
        <v>0.20502852748904843</v>
      </c>
      <c r="B86" s="15">
        <f t="shared" si="7"/>
        <v>4.2036697084327487E-2</v>
      </c>
      <c r="C86" s="15">
        <v>2.315178288703605</v>
      </c>
      <c r="D86" s="16"/>
    </row>
    <row r="87" spans="1:9" x14ac:dyDescent="0.25">
      <c r="A87">
        <v>-1.8134323909180239</v>
      </c>
      <c r="B87" s="15">
        <f t="shared" si="7"/>
        <v>3.2885370364306605</v>
      </c>
      <c r="C87" s="15">
        <v>2.3458904723608582</v>
      </c>
      <c r="D87" s="16"/>
    </row>
    <row r="88" spans="1:9" x14ac:dyDescent="0.25">
      <c r="A88">
        <v>-1.4941497283871286</v>
      </c>
      <c r="B88" s="15">
        <f t="shared" si="7"/>
        <v>2.2324834108393299</v>
      </c>
      <c r="C88" s="15">
        <v>2.3504338806584415</v>
      </c>
      <c r="D88" s="16"/>
    </row>
    <row r="89" spans="1:9" x14ac:dyDescent="0.25">
      <c r="A89">
        <v>-1.5774639905430377</v>
      </c>
      <c r="B89" s="15">
        <f t="shared" si="7"/>
        <v>2.4883926414599649</v>
      </c>
      <c r="C89" s="15">
        <v>2.4883926414599649</v>
      </c>
      <c r="D89" s="16"/>
    </row>
    <row r="90" spans="1:9" x14ac:dyDescent="0.25">
      <c r="A90">
        <v>4.350340532255359E-2</v>
      </c>
      <c r="B90" s="15">
        <f t="shared" si="7"/>
        <v>1.8925462746583841E-3</v>
      </c>
      <c r="C90" s="15">
        <v>2.4892391835789232</v>
      </c>
      <c r="D90" s="16"/>
    </row>
    <row r="91" spans="1:9" x14ac:dyDescent="0.25">
      <c r="A91">
        <v>-0.61051537159073632</v>
      </c>
      <c r="B91" s="15">
        <f t="shared" si="7"/>
        <v>0.37272901894857485</v>
      </c>
      <c r="C91" s="15">
        <v>2.7097766871620532</v>
      </c>
      <c r="D91" s="16"/>
    </row>
    <row r="92" spans="1:9" x14ac:dyDescent="0.25">
      <c r="A92">
        <v>1.0207304512732662</v>
      </c>
      <c r="B92" s="15">
        <f t="shared" si="7"/>
        <v>1.0418906541565258</v>
      </c>
      <c r="C92" s="15">
        <v>2.8276447285365216</v>
      </c>
      <c r="D92" s="16"/>
    </row>
    <row r="93" spans="1:9" x14ac:dyDescent="0.25">
      <c r="A93">
        <v>-0.24079099603113718</v>
      </c>
      <c r="B93" s="15">
        <f t="shared" si="7"/>
        <v>5.7980303769667126E-2</v>
      </c>
      <c r="C93" s="15">
        <v>2.8564853475466396</v>
      </c>
      <c r="D93" s="16"/>
    </row>
    <row r="94" spans="1:9" x14ac:dyDescent="0.25">
      <c r="A94">
        <v>2.6707130018621683</v>
      </c>
      <c r="B94" s="15">
        <f t="shared" si="7"/>
        <v>7.132707938315634</v>
      </c>
      <c r="C94" s="15">
        <v>2.924909141035779</v>
      </c>
      <c r="D94" s="16"/>
    </row>
    <row r="95" spans="1:9" x14ac:dyDescent="0.25">
      <c r="A95">
        <v>0.13392764230957255</v>
      </c>
      <c r="B95" s="15">
        <f t="shared" si="7"/>
        <v>1.7936613374600806E-2</v>
      </c>
      <c r="C95" s="15">
        <v>3.2502204468199216</v>
      </c>
      <c r="D95" s="16"/>
    </row>
    <row r="96" spans="1:9" x14ac:dyDescent="0.25">
      <c r="A96">
        <v>2.4008295440580696</v>
      </c>
      <c r="B96" s="15">
        <f t="shared" si="7"/>
        <v>5.7639824996220783</v>
      </c>
      <c r="C96" s="15">
        <v>3.2885370364306605</v>
      </c>
      <c r="D96" s="16"/>
    </row>
    <row r="97" spans="1:4" x14ac:dyDescent="0.25">
      <c r="A97">
        <v>9.5346877060364932E-2</v>
      </c>
      <c r="B97" s="15">
        <f t="shared" si="7"/>
        <v>9.0910269651643446E-3</v>
      </c>
      <c r="C97" s="15">
        <v>3.7197150258842759</v>
      </c>
      <c r="D97" s="16"/>
    </row>
    <row r="98" spans="1:4" x14ac:dyDescent="0.25">
      <c r="A98">
        <v>-0.70180135480768513</v>
      </c>
      <c r="B98" s="15">
        <f t="shared" ref="B98:B101" si="8">A98^2</f>
        <v>0.49252514160990235</v>
      </c>
      <c r="C98" s="15">
        <v>5.7639824996220783</v>
      </c>
      <c r="D98" s="16"/>
    </row>
    <row r="99" spans="1:4" x14ac:dyDescent="0.25">
      <c r="A99">
        <v>0.92847585619892925</v>
      </c>
      <c r="B99" s="15">
        <f t="shared" si="8"/>
        <v>0.86206741554433475</v>
      </c>
      <c r="C99" s="15">
        <v>7.132707938315634</v>
      </c>
      <c r="D99" s="16"/>
    </row>
    <row r="100" spans="1:4" x14ac:dyDescent="0.25">
      <c r="A100">
        <v>-0.39691940401098691</v>
      </c>
      <c r="B100" s="15">
        <f t="shared" si="8"/>
        <v>0.15754501328043705</v>
      </c>
      <c r="C100" s="15">
        <v>7.5374247962581391</v>
      </c>
      <c r="D100" s="16"/>
    </row>
    <row r="101" spans="1:4" x14ac:dyDescent="0.25">
      <c r="A101">
        <v>-0.15549630916211754</v>
      </c>
      <c r="B101" s="15">
        <f t="shared" si="8"/>
        <v>2.4179102163040839E-2</v>
      </c>
      <c r="C101" s="15">
        <v>7.6501061556846617</v>
      </c>
      <c r="D101" s="16"/>
    </row>
  </sheetData>
  <sortState xmlns:xlrd2="http://schemas.microsoft.com/office/spreadsheetml/2017/richdata2" ref="C2:C101">
    <sortCondition ref="C1"/>
  </sortState>
  <mergeCells count="1">
    <mergeCell ref="F1:G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1</vt:lpstr>
      <vt:lpstr>Задание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Lion 120454</dc:creator>
  <cp:lastModifiedBy>Lion 120454</cp:lastModifiedBy>
  <dcterms:created xsi:type="dcterms:W3CDTF">2025-09-24T12:39:18Z</dcterms:created>
  <dcterms:modified xsi:type="dcterms:W3CDTF">2025-09-25T15:21:15Z</dcterms:modified>
</cp:coreProperties>
</file>