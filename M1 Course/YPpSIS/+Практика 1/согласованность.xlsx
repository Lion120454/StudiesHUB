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Документы\ТУСУР\УПИС\"/>
    </mc:Choice>
  </mc:AlternateContent>
  <xr:revisionPtr revIDLastSave="0" documentId="13_ncr:1_{86D7EE01-4278-49AC-B2E1-E9CB4BF93343}" xr6:coauthVersionLast="45" xr6:coauthVersionMax="45" xr10:uidLastSave="{00000000-0000-0000-0000-000000000000}"/>
  <bookViews>
    <workbookView xWindow="-120" yWindow="-120" windowWidth="24240" windowHeight="13140" tabRatio="500" activeTab="1" xr2:uid="{00000000-000D-0000-FFFF-FFFF00000000}"/>
  </bookViews>
  <sheets>
    <sheet name="Sheet1 (2)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8" i="4" l="1"/>
  <c r="E8" i="4"/>
  <c r="D8" i="4"/>
  <c r="H8" i="4" s="1"/>
  <c r="I8" i="4" s="1"/>
  <c r="C8" i="4"/>
  <c r="G8" i="4" s="1"/>
  <c r="B8" i="4"/>
  <c r="B10" i="4" s="1"/>
  <c r="H6" i="4"/>
  <c r="I6" i="4" s="1"/>
  <c r="G6" i="4"/>
  <c r="H5" i="4"/>
  <c r="I5" i="4" s="1"/>
  <c r="G5" i="4"/>
  <c r="H4" i="4"/>
  <c r="I4" i="4" s="1"/>
  <c r="G4" i="4"/>
  <c r="H3" i="4"/>
  <c r="G3" i="4"/>
  <c r="I3" i="4" s="1"/>
  <c r="H2" i="4"/>
  <c r="I2" i="4" s="1"/>
  <c r="G2" i="4"/>
  <c r="H3" i="1" l="1"/>
  <c r="H4" i="1"/>
  <c r="H5" i="1"/>
  <c r="H6" i="1"/>
  <c r="I6" i="1" s="1"/>
  <c r="H2" i="1"/>
  <c r="G3" i="1"/>
  <c r="G4" i="1"/>
  <c r="G5" i="1"/>
  <c r="G6" i="1"/>
  <c r="F8" i="1"/>
  <c r="E8" i="1"/>
  <c r="D8" i="1"/>
  <c r="C8" i="1"/>
  <c r="B8" i="1"/>
  <c r="G8" i="1" s="1"/>
  <c r="I4" i="1"/>
  <c r="I3" i="1"/>
  <c r="G2" i="1"/>
  <c r="B10" i="1" l="1"/>
  <c r="I5" i="1"/>
  <c r="H8" i="1"/>
  <c r="I8" i="1" s="1"/>
  <c r="I2" i="1"/>
</calcChain>
</file>

<file path=xl/sharedStrings.xml><?xml version="1.0" encoding="utf-8"?>
<sst xmlns="http://schemas.openxmlformats.org/spreadsheetml/2006/main" count="37" uniqueCount="20">
  <si>
    <t>Концепция 1</t>
  </si>
  <si>
    <t>Эксперт 1</t>
  </si>
  <si>
    <t>Эксперт 2</t>
  </si>
  <si>
    <t>Эксперт 3</t>
  </si>
  <si>
    <t>Эксперт 4</t>
  </si>
  <si>
    <t>Ср.зн.</t>
  </si>
  <si>
    <t>Ср.кв.откл.</t>
  </si>
  <si>
    <t>Коэф.вар.</t>
  </si>
  <si>
    <t>Вес критерия</t>
  </si>
  <si>
    <t>Критерий 1</t>
  </si>
  <si>
    <t>Критерий 2</t>
  </si>
  <si>
    <t>Критерий 3</t>
  </si>
  <si>
    <t>Критерий 4</t>
  </si>
  <si>
    <t>Критерий 5</t>
  </si>
  <si>
    <t>Взвешенная оценка</t>
  </si>
  <si>
    <t>!Сумма весов равна 1</t>
  </si>
  <si>
    <t>! Должен быть менее 33%</t>
  </si>
  <si>
    <t>Интегральная оценка</t>
  </si>
  <si>
    <t>Эксперт 5</t>
  </si>
  <si>
    <t>Концепция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</si>
</sst>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;[Red]\-#,##0.00\ [$€-407]"/>
  </numFmts>
  <fonts count="3" x14ac:knownFonts="1">
    <font>
      <sz val="10"/>
      <name val="Arial"/>
      <family val="2"/>
      <charset val="204"/>
    </font>
    <font>
      <b/>
      <i/>
      <u/>
      <sz val="10"/>
      <name val="Arial"/>
      <family val="2"/>
      <charset val="204"/>
    </font>
    <font>
      <b/>
      <i/>
      <sz val="16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ADC5E7"/>
        <bgColor rgb="FFCCCCFF"/>
      </patternFill>
    </fill>
    <fill>
      <patternFill patternType="solid">
        <fgColor rgb="FFFCC79B"/>
        <bgColor rgb="FFC2E0AE"/>
      </patternFill>
    </fill>
    <fill>
      <patternFill patternType="solid">
        <fgColor rgb="FFC2E0AE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 applyBorder="0" applyAlignment="0" applyProtection="0"/>
    <xf numFmtId="164" fontId="1" fillId="0" borderId="0" applyBorder="0" applyAlignment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</cellStyleXfs>
  <cellXfs count="10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3" borderId="1" xfId="0" applyFont="1" applyFill="1" applyBorder="1"/>
    <xf numFmtId="0" fontId="0" fillId="2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0" borderId="1" xfId="0" applyBorder="1"/>
    <xf numFmtId="2" fontId="0" fillId="3" borderId="1" xfId="0" applyNumberFormat="1" applyFont="1" applyFill="1" applyBorder="1"/>
    <xf numFmtId="2" fontId="0" fillId="2" borderId="1" xfId="0" applyNumberFormat="1" applyFont="1" applyFill="1" applyBorder="1"/>
  </cellXfs>
  <cellStyles count="5">
    <cellStyle name="Заголовок" xfId="3" xr:uid="{00000000-0005-0000-0000-000000000000}"/>
    <cellStyle name="Заголовок1" xfId="4" xr:uid="{00000000-0005-0000-0000-000001000000}"/>
    <cellStyle name="Обычный" xfId="0" builtinId="0"/>
    <cellStyle name="Результат" xfId="1" xr:uid="{00000000-0005-0000-0000-000003000000}"/>
    <cellStyle name="Результат2" xfId="2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5E7"/>
      <rgbColor rgb="FFFF99CC"/>
      <rgbColor rgb="FFCC99FF"/>
      <rgbColor rgb="FFFCC7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F600-C95C-45E1-A78B-6862825B79E8}">
  <dimension ref="A1:J10"/>
  <sheetViews>
    <sheetView zoomScaleNormal="100" workbookViewId="0">
      <selection activeCell="B10" sqref="B10"/>
    </sheetView>
  </sheetViews>
  <sheetFormatPr defaultColWidth="11.5703125" defaultRowHeight="12.75" x14ac:dyDescent="0.2"/>
  <cols>
    <col min="1" max="1" width="20.140625" customWidth="1"/>
    <col min="9" max="9" width="23.42578125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3" t="s">
        <v>5</v>
      </c>
      <c r="H1" s="3" t="s">
        <v>6</v>
      </c>
      <c r="I1" s="4" t="s">
        <v>7</v>
      </c>
      <c r="J1" s="5" t="s">
        <v>8</v>
      </c>
    </row>
    <row r="2" spans="1:10" x14ac:dyDescent="0.2">
      <c r="A2" s="2" t="s">
        <v>9</v>
      </c>
      <c r="B2" s="2">
        <v>0.5</v>
      </c>
      <c r="C2" s="2">
        <v>0.6</v>
      </c>
      <c r="D2" s="2">
        <v>0.6</v>
      </c>
      <c r="E2" s="2">
        <v>0.7</v>
      </c>
      <c r="F2" s="2">
        <v>0.6</v>
      </c>
      <c r="G2" s="3">
        <f>AVERAGE(B2:F2)</f>
        <v>0.60000000000000009</v>
      </c>
      <c r="H2" s="3">
        <f>STDEV(B2:F2)</f>
        <v>7.0710678118653211E-2</v>
      </c>
      <c r="I2" s="4">
        <f>H2/G2*100</f>
        <v>11.785113019775533</v>
      </c>
      <c r="J2" s="5">
        <v>0.2</v>
      </c>
    </row>
    <row r="3" spans="1:10" x14ac:dyDescent="0.2">
      <c r="A3" s="2" t="s">
        <v>10</v>
      </c>
      <c r="B3" s="2">
        <v>0.3</v>
      </c>
      <c r="C3" s="2">
        <v>0.2</v>
      </c>
      <c r="D3" s="2">
        <v>0.3</v>
      </c>
      <c r="E3" s="2">
        <v>0.2</v>
      </c>
      <c r="F3" s="2">
        <v>0.2</v>
      </c>
      <c r="G3" s="3">
        <f t="shared" ref="G3:G8" si="0">AVERAGE(B3:F3)</f>
        <v>0.24</v>
      </c>
      <c r="H3" s="3">
        <f t="shared" ref="H3:H8" si="1">STDEV(B3:F3)</f>
        <v>5.4772255750516766E-2</v>
      </c>
      <c r="I3" s="4">
        <f>H3/G3*100</f>
        <v>22.821773229381986</v>
      </c>
      <c r="J3" s="5">
        <v>0.1</v>
      </c>
    </row>
    <row r="4" spans="1:10" x14ac:dyDescent="0.2">
      <c r="A4" s="2" t="s">
        <v>11</v>
      </c>
      <c r="B4" s="2">
        <v>0.6</v>
      </c>
      <c r="C4" s="2">
        <v>0.6</v>
      </c>
      <c r="D4" s="2">
        <v>0.6</v>
      </c>
      <c r="E4" s="2">
        <v>0.6</v>
      </c>
      <c r="F4" s="2">
        <v>0.7</v>
      </c>
      <c r="G4" s="3">
        <f t="shared" si="0"/>
        <v>0.61999999999999988</v>
      </c>
      <c r="H4" s="3">
        <f t="shared" si="1"/>
        <v>4.4721359549995787E-2</v>
      </c>
      <c r="I4" s="4">
        <f>H4/G4*100</f>
        <v>7.2131225080638375</v>
      </c>
      <c r="J4" s="5">
        <v>0.3</v>
      </c>
    </row>
    <row r="5" spans="1:10" x14ac:dyDescent="0.2">
      <c r="A5" s="2" t="s">
        <v>12</v>
      </c>
      <c r="B5" s="2">
        <v>0.5</v>
      </c>
      <c r="C5" s="2">
        <v>0.4</v>
      </c>
      <c r="D5" s="2">
        <v>0.5</v>
      </c>
      <c r="E5" s="2">
        <v>0.5</v>
      </c>
      <c r="F5" s="2">
        <v>0.8</v>
      </c>
      <c r="G5" s="3">
        <f t="shared" si="0"/>
        <v>0.54</v>
      </c>
      <c r="H5" s="3">
        <f t="shared" si="1"/>
        <v>0.15165750888103108</v>
      </c>
      <c r="I5" s="4">
        <f>H5/G5*100</f>
        <v>28.084723866857601</v>
      </c>
      <c r="J5" s="5">
        <v>0.3</v>
      </c>
    </row>
    <row r="6" spans="1:10" x14ac:dyDescent="0.2">
      <c r="A6" s="2" t="s">
        <v>13</v>
      </c>
      <c r="B6" s="2">
        <v>0.7</v>
      </c>
      <c r="C6" s="2">
        <v>0.5</v>
      </c>
      <c r="D6" s="2">
        <v>0.6</v>
      </c>
      <c r="E6" s="2">
        <v>0.7</v>
      </c>
      <c r="F6" s="2">
        <v>0.8</v>
      </c>
      <c r="G6" s="3">
        <f t="shared" si="0"/>
        <v>0.65999999999999992</v>
      </c>
      <c r="H6" s="3">
        <f t="shared" si="1"/>
        <v>0.11401754250991433</v>
      </c>
      <c r="I6" s="4">
        <f>H6/G6*100</f>
        <v>17.275385228774901</v>
      </c>
      <c r="J6" s="5">
        <v>0.1</v>
      </c>
    </row>
    <row r="7" spans="1:10" x14ac:dyDescent="0.2">
      <c r="G7" s="3"/>
      <c r="H7" s="3"/>
      <c r="I7" s="4"/>
      <c r="J7" s="5"/>
    </row>
    <row r="8" spans="1:10" x14ac:dyDescent="0.2">
      <c r="A8" t="s">
        <v>14</v>
      </c>
      <c r="B8">
        <f>B2*$J2+B3*$J3+B4*$J4+B5*$J5+B6*$J6</f>
        <v>0.52999999999999992</v>
      </c>
      <c r="C8">
        <f>C2*$J2+C3*$J3+C4*$J4+C5*$J5+C6*$J6</f>
        <v>0.49</v>
      </c>
      <c r="D8">
        <f>D2*$J2+D3*$J3+D4*$J4+D5*$J5+D6*$J6</f>
        <v>0.54</v>
      </c>
      <c r="E8">
        <f>E2*$J2+E3*$J3+E4*$J4+E5*$J5+E6*$J6</f>
        <v>0.55999999999999994</v>
      </c>
      <c r="F8">
        <f>F2*$J2+F3*$J3+F4*$J4+F5*$J5+F6*$J6</f>
        <v>0.66999999999999993</v>
      </c>
      <c r="G8" s="3">
        <f t="shared" si="0"/>
        <v>0.55800000000000005</v>
      </c>
      <c r="H8" s="3">
        <f t="shared" si="1"/>
        <v>6.7601775124621594E-2</v>
      </c>
      <c r="I8" s="4">
        <f>H8/G8*100</f>
        <v>12.115013463193833</v>
      </c>
      <c r="J8" s="5" t="s">
        <v>15</v>
      </c>
    </row>
    <row r="9" spans="1:10" x14ac:dyDescent="0.2">
      <c r="I9" s="4" t="s">
        <v>16</v>
      </c>
    </row>
    <row r="10" spans="1:10" x14ac:dyDescent="0.2">
      <c r="A10" s="6" t="s">
        <v>17</v>
      </c>
      <c r="B10" s="6">
        <f>SUM(B8:F8)/5</f>
        <v>0.55800000000000005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Normal="100" workbookViewId="0">
      <selection activeCell="A16" sqref="A16"/>
    </sheetView>
  </sheetViews>
  <sheetFormatPr defaultColWidth="11.5703125" defaultRowHeight="12.75" x14ac:dyDescent="0.2"/>
  <cols>
    <col min="1" max="1" width="20.140625" customWidth="1"/>
    <col min="9" max="9" width="23.42578125" customWidth="1"/>
  </cols>
  <sheetData>
    <row r="1" spans="1:10" x14ac:dyDescent="0.2">
      <c r="A1" s="1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3" t="s">
        <v>5</v>
      </c>
      <c r="H1" s="3" t="s">
        <v>6</v>
      </c>
      <c r="I1" s="1" t="s">
        <v>7</v>
      </c>
      <c r="J1" s="5" t="s">
        <v>8</v>
      </c>
    </row>
    <row r="2" spans="1:10" x14ac:dyDescent="0.2">
      <c r="A2" s="2" t="s">
        <v>9</v>
      </c>
      <c r="B2" s="2">
        <v>0.5</v>
      </c>
      <c r="C2" s="2">
        <v>0.6</v>
      </c>
      <c r="D2" s="2">
        <v>0.6</v>
      </c>
      <c r="E2" s="2">
        <v>0.7</v>
      </c>
      <c r="F2" s="2">
        <v>0.6</v>
      </c>
      <c r="G2" s="3">
        <f>AVERAGE(B2:F2)</f>
        <v>0.60000000000000009</v>
      </c>
      <c r="H2" s="8">
        <f>STDEV(B2:F2)</f>
        <v>7.0710678118653211E-2</v>
      </c>
      <c r="I2" s="9">
        <f>H2/G2*100</f>
        <v>11.785113019775533</v>
      </c>
      <c r="J2" s="5">
        <v>0.2</v>
      </c>
    </row>
    <row r="3" spans="1:10" x14ac:dyDescent="0.2">
      <c r="A3" s="2" t="s">
        <v>10</v>
      </c>
      <c r="B3" s="2">
        <v>0.3</v>
      </c>
      <c r="C3" s="2">
        <v>0.2</v>
      </c>
      <c r="D3" s="2">
        <v>0.3</v>
      </c>
      <c r="E3" s="2">
        <v>0.2</v>
      </c>
      <c r="F3" s="2">
        <v>0.2</v>
      </c>
      <c r="G3" s="3">
        <f t="shared" ref="G3:G8" si="0">AVERAGE(B3:F3)</f>
        <v>0.24</v>
      </c>
      <c r="H3" s="8">
        <f t="shared" ref="H3:H8" si="1">STDEV(B3:F3)</f>
        <v>5.4772255750516766E-2</v>
      </c>
      <c r="I3" s="9">
        <f>H3/G3*100</f>
        <v>22.821773229381986</v>
      </c>
      <c r="J3" s="5">
        <v>0.1</v>
      </c>
    </row>
    <row r="4" spans="1:10" x14ac:dyDescent="0.2">
      <c r="A4" s="2" t="s">
        <v>11</v>
      </c>
      <c r="B4" s="2">
        <v>0.6</v>
      </c>
      <c r="C4" s="2">
        <v>0.6</v>
      </c>
      <c r="D4" s="2">
        <v>0.6</v>
      </c>
      <c r="E4" s="2">
        <v>0.6</v>
      </c>
      <c r="F4" s="2">
        <v>0.7</v>
      </c>
      <c r="G4" s="3">
        <f t="shared" si="0"/>
        <v>0.61999999999999988</v>
      </c>
      <c r="H4" s="8">
        <f t="shared" si="1"/>
        <v>4.4721359549995787E-2</v>
      </c>
      <c r="I4" s="9">
        <f>H4/G4*100</f>
        <v>7.2131225080638375</v>
      </c>
      <c r="J4" s="5">
        <v>0.3</v>
      </c>
    </row>
    <row r="5" spans="1:10" x14ac:dyDescent="0.2">
      <c r="A5" s="2" t="s">
        <v>12</v>
      </c>
      <c r="B5" s="2">
        <v>0.5</v>
      </c>
      <c r="C5" s="2">
        <v>0.4</v>
      </c>
      <c r="D5" s="2">
        <v>0.5</v>
      </c>
      <c r="E5" s="2">
        <v>0.5</v>
      </c>
      <c r="F5" s="2">
        <v>0.8</v>
      </c>
      <c r="G5" s="3">
        <f t="shared" si="0"/>
        <v>0.54</v>
      </c>
      <c r="H5" s="8">
        <f t="shared" si="1"/>
        <v>0.15165750888103108</v>
      </c>
      <c r="I5" s="9">
        <f>H5/G5*100</f>
        <v>28.084723866857601</v>
      </c>
      <c r="J5" s="5">
        <v>0.3</v>
      </c>
    </row>
    <row r="6" spans="1:10" x14ac:dyDescent="0.2">
      <c r="A6" s="2" t="s">
        <v>13</v>
      </c>
      <c r="B6" s="2">
        <v>0.7</v>
      </c>
      <c r="C6" s="2">
        <v>0.5</v>
      </c>
      <c r="D6" s="2">
        <v>0.6</v>
      </c>
      <c r="E6" s="2">
        <v>0.7</v>
      </c>
      <c r="F6" s="2">
        <v>0.8</v>
      </c>
      <c r="G6" s="3">
        <f t="shared" si="0"/>
        <v>0.65999999999999992</v>
      </c>
      <c r="H6" s="8">
        <f t="shared" si="1"/>
        <v>0.11401754250991433</v>
      </c>
      <c r="I6" s="9">
        <f>H6/G6*100</f>
        <v>17.275385228774901</v>
      </c>
      <c r="J6" s="5">
        <v>0.1</v>
      </c>
    </row>
    <row r="7" spans="1:10" ht="0.75" customHeight="1" x14ac:dyDescent="0.2">
      <c r="A7" s="7"/>
      <c r="B7" s="7"/>
      <c r="C7" s="7"/>
      <c r="D7" s="7"/>
      <c r="E7" s="7"/>
      <c r="F7" s="7"/>
      <c r="G7" s="3"/>
      <c r="H7" s="8"/>
      <c r="I7" s="9"/>
      <c r="J7" s="5"/>
    </row>
    <row r="8" spans="1:10" ht="10.5" customHeight="1" x14ac:dyDescent="0.2">
      <c r="A8" s="7" t="s">
        <v>14</v>
      </c>
      <c r="B8" s="7">
        <f>B2*$J2+B3*$J3+B4*$J4+B5*$J5+B6*$J6</f>
        <v>0.52999999999999992</v>
      </c>
      <c r="C8" s="7">
        <f>C2*$J2+C3*$J3+C4*$J4+C5*$J5+C6*$J6</f>
        <v>0.49</v>
      </c>
      <c r="D8" s="7">
        <f>D2*$J2+D3*$J3+D4*$J4+D5*$J5+D6*$J6</f>
        <v>0.54</v>
      </c>
      <c r="E8" s="7">
        <f>E2*$J2+E3*$J3+E4*$J4+E5*$J5+E6*$J6</f>
        <v>0.55999999999999994</v>
      </c>
      <c r="F8" s="7">
        <f>F2*$J2+F3*$J3+F4*$J4+F5*$J5+F6*$J6</f>
        <v>0.66999999999999993</v>
      </c>
      <c r="G8" s="3">
        <f t="shared" si="0"/>
        <v>0.55800000000000005</v>
      </c>
      <c r="H8" s="8">
        <f t="shared" si="1"/>
        <v>6.7601775124621594E-2</v>
      </c>
      <c r="I8" s="9">
        <f>H8/G8*100</f>
        <v>12.115013463193833</v>
      </c>
      <c r="J8" s="5" t="s">
        <v>15</v>
      </c>
    </row>
    <row r="9" spans="1:10" hidden="1" x14ac:dyDescent="0.2">
      <c r="I9" s="4"/>
    </row>
    <row r="10" spans="1:10" x14ac:dyDescent="0.2">
      <c r="A10" s="6" t="s">
        <v>17</v>
      </c>
      <c r="B10" s="6">
        <f>SUM(B8:F8)/5</f>
        <v>0.55800000000000005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zoomScalePageLayoutView="60" workbookViewId="0"/>
  </sheetViews>
  <sheetFormatPr defaultColWidth="11.5703125" defaultRowHeight="12.75" x14ac:dyDescent="0.2"/>
  <sheetData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zoomScalePageLayoutView="60" workbookViewId="0"/>
  </sheetViews>
  <sheetFormatPr defaultColWidth="11.5703125" defaultRowHeight="12.75" x14ac:dyDescent="0.2"/>
  <sheetData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 (2)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7</cp:revision>
  <dcterms:created xsi:type="dcterms:W3CDTF">2009-04-16T11:32:48Z</dcterms:created>
  <dcterms:modified xsi:type="dcterms:W3CDTF">2026-02-11T05:10:39Z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