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MyStuff\Учёба\Магистратура\Семестр 2\Управление проектами по созданию информационных систем\Лаба 2\"/>
    </mc:Choice>
  </mc:AlternateContent>
  <xr:revisionPtr revIDLastSave="0" documentId="13_ncr:1_{CBD9B13A-D050-494B-A51F-CE2115D6F1CB}" xr6:coauthVersionLast="47" xr6:coauthVersionMax="47" xr10:uidLastSave="{00000000-0000-0000-0000-000000000000}"/>
  <bookViews>
    <workbookView xWindow="23850" yWindow="0" windowWidth="14655" windowHeight="209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E21" i="1"/>
  <c r="F21" i="1"/>
  <c r="E15" i="1"/>
  <c r="F15" i="1"/>
  <c r="E11" i="1"/>
  <c r="F11" i="1"/>
  <c r="E7" i="1"/>
  <c r="F7" i="1"/>
  <c r="E3" i="1"/>
  <c r="F3" i="1"/>
  <c r="D26" i="1"/>
  <c r="D21" i="1"/>
  <c r="D15" i="1"/>
  <c r="D11" i="1"/>
  <c r="D7" i="1"/>
  <c r="D3" i="1"/>
  <c r="F26" i="1" l="1"/>
  <c r="G3" i="1"/>
  <c r="G26" i="1" s="1"/>
  <c r="E26" i="1"/>
</calcChain>
</file>

<file path=xl/sharedStrings.xml><?xml version="1.0" encoding="utf-8"?>
<sst xmlns="http://schemas.openxmlformats.org/spreadsheetml/2006/main" count="72" uniqueCount="66">
  <si>
    <t>Номер</t>
  </si>
  <si>
    <t>Наименование этапа/работы</t>
  </si>
  <si>
    <t>Исполнитель</t>
  </si>
  <si>
    <t>Трудозатраты (чел/дн)</t>
  </si>
  <si>
    <t>t</t>
  </si>
  <si>
    <t>to</t>
  </si>
  <si>
    <t>tp</t>
  </si>
  <si>
    <t>tn</t>
  </si>
  <si>
    <t>1.1</t>
  </si>
  <si>
    <t>1.2</t>
  </si>
  <si>
    <t>1.3</t>
  </si>
  <si>
    <t>2</t>
  </si>
  <si>
    <t>2.1</t>
  </si>
  <si>
    <t>2.2</t>
  </si>
  <si>
    <t>2.3</t>
  </si>
  <si>
    <t>3</t>
  </si>
  <si>
    <t>1</t>
  </si>
  <si>
    <t>3.1</t>
  </si>
  <si>
    <t>3.2</t>
  </si>
  <si>
    <t>3.3</t>
  </si>
  <si>
    <t>4</t>
  </si>
  <si>
    <t>4.1</t>
  </si>
  <si>
    <t>4.2</t>
  </si>
  <si>
    <t>4.3</t>
  </si>
  <si>
    <t>4.4</t>
  </si>
  <si>
    <t>4.5</t>
  </si>
  <si>
    <t>5</t>
  </si>
  <si>
    <t>5.1</t>
  </si>
  <si>
    <t>5.2</t>
  </si>
  <si>
    <t>5.3</t>
  </si>
  <si>
    <t>5.4</t>
  </si>
  <si>
    <t>ИТОГ</t>
  </si>
  <si>
    <t>Управление проектом</t>
  </si>
  <si>
    <t>Планирование и координация команды</t>
  </si>
  <si>
    <t>Управление рисками и коммуникация с заказчиками</t>
  </si>
  <si>
    <t>Подготовка отчетной документации</t>
  </si>
  <si>
    <t>Анализ и обследование (15% трудозатрат)</t>
  </si>
  <si>
    <t>Изучение производственных и логистических процессов</t>
  </si>
  <si>
    <t>Сбор требований к функционалу</t>
  </si>
  <si>
    <t>Формирование технического задания (ТЗ)</t>
  </si>
  <si>
    <t>Проектирование (20% трудозатрат)</t>
  </si>
  <si>
    <t>Проектирование архитектуры и интеграционного слоя</t>
  </si>
  <si>
    <t>Проектирование экономической модели</t>
  </si>
  <si>
    <t>Разработка математических моделей оптимизации</t>
  </si>
  <si>
    <t>Разработка и интеграция (45% трудозатрат)</t>
  </si>
  <si>
    <t>Разработка интеграционного слоя</t>
  </si>
  <si>
    <t>Разработка слоя хранения данных (MDM/DWH)</t>
  </si>
  <si>
    <t>Реализация модуля экономической модели</t>
  </si>
  <si>
    <t>Реализация модуля ИИ-планирования (сценарии)</t>
  </si>
  <si>
    <t>Разработка веб-интерфейсов и панелей</t>
  </si>
  <si>
    <t>Тестирование и внедрение (20% трудозатрат)</t>
  </si>
  <si>
    <t>Настройка тестовых сред (инфраструктура)</t>
  </si>
  <si>
    <t>Функциональное и интеграционное тестирование</t>
  </si>
  <si>
    <t>Развертывание системы (пилотные внедрения)</t>
  </si>
  <si>
    <t>Буферная работа (непредвиденные сбои на пилотах)</t>
  </si>
  <si>
    <t>Руководитель проекта</t>
  </si>
  <si>
    <t>Системный аналитик</t>
  </si>
  <si>
    <t>Архитектор</t>
  </si>
  <si>
    <t>Data Scientist</t>
  </si>
  <si>
    <t>Архитектор / Аналитик / Data Scientist</t>
  </si>
  <si>
    <t>Команда разработки</t>
  </si>
  <si>
    <t>Backend-разработчик</t>
  </si>
  <si>
    <t>Frontend-разработчик</t>
  </si>
  <si>
    <t>DevOps / QA</t>
  </si>
  <si>
    <t>DevOps-инженер</t>
  </si>
  <si>
    <t>QA-инженер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</si>
</sst>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5" xfId="0" applyNumberFormat="1" applyBorder="1" applyAlignment="1">
      <alignment horizontal="center" vertical="center" wrapText="1"/>
    </xf>
    <xf numFmtId="2" fontId="0" fillId="0" borderId="6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 wrapText="1"/>
    </xf>
    <xf numFmtId="49" fontId="0" fillId="0" borderId="13" xfId="0" applyNumberForma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9" fontId="0" fillId="0" borderId="16" xfId="0" applyNumberFormat="1" applyBorder="1" applyAlignment="1">
      <alignment horizontal="center" vertical="center" wrapText="1"/>
    </xf>
    <xf numFmtId="49" fontId="0" fillId="0" borderId="17" xfId="0" applyNumberFormat="1" applyBorder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 wrapText="1"/>
    </xf>
    <xf numFmtId="2" fontId="0" fillId="0" borderId="18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17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Normal="100" workbookViewId="0">
      <selection activeCell="C13" sqref="C13"/>
    </sheetView>
  </sheetViews>
  <sheetFormatPr defaultRowHeight="15" x14ac:dyDescent="0.25"/>
  <cols>
    <col min="1" max="1" width="9.140625" style="1"/>
    <col min="2" max="2" width="28.28515625" style="1" bestFit="1" customWidth="1"/>
    <col min="3" max="3" width="15" style="1" customWidth="1"/>
    <col min="4" max="16384" width="9.140625" style="1"/>
  </cols>
  <sheetData>
    <row r="1" spans="1:7" x14ac:dyDescent="0.25">
      <c r="A1" s="32" t="s">
        <v>0</v>
      </c>
      <c r="B1" s="30" t="s">
        <v>1</v>
      </c>
      <c r="C1" s="30" t="s">
        <v>2</v>
      </c>
      <c r="D1" s="30" t="s">
        <v>3</v>
      </c>
      <c r="E1" s="30"/>
      <c r="F1" s="30"/>
      <c r="G1" s="31"/>
    </row>
    <row r="2" spans="1:7" ht="15.75" thickBot="1" x14ac:dyDescent="0.3">
      <c r="A2" s="33"/>
      <c r="B2" s="34"/>
      <c r="C2" s="34"/>
      <c r="D2" s="10" t="s">
        <v>5</v>
      </c>
      <c r="E2" s="10" t="s">
        <v>6</v>
      </c>
      <c r="F2" s="10" t="s">
        <v>7</v>
      </c>
      <c r="G2" s="29" t="s">
        <v>4</v>
      </c>
    </row>
    <row r="3" spans="1:7" ht="30" customHeight="1" x14ac:dyDescent="0.25">
      <c r="A3" s="25" t="s">
        <v>16</v>
      </c>
      <c r="B3" s="26" t="s">
        <v>32</v>
      </c>
      <c r="C3" s="35" t="s">
        <v>55</v>
      </c>
      <c r="D3" s="27">
        <f>SUM(D4:D6)</f>
        <v>18</v>
      </c>
      <c r="E3" s="27">
        <f t="shared" ref="E3:F3" si="0">SUM(E4:E6)</f>
        <v>28</v>
      </c>
      <c r="F3" s="27">
        <f t="shared" si="0"/>
        <v>45</v>
      </c>
      <c r="G3" s="28">
        <f>(F3+4*E3+D3)/6</f>
        <v>29.166666666666668</v>
      </c>
    </row>
    <row r="4" spans="1:7" ht="30" x14ac:dyDescent="0.25">
      <c r="A4" s="7" t="s">
        <v>8</v>
      </c>
      <c r="B4" s="2" t="s">
        <v>33</v>
      </c>
      <c r="C4" s="36"/>
      <c r="D4" s="4">
        <v>10</v>
      </c>
      <c r="E4" s="3">
        <v>15</v>
      </c>
      <c r="F4" s="3">
        <v>25</v>
      </c>
      <c r="G4" s="8">
        <f t="shared" ref="G4:G25" si="1">(F4+4*E4+D4)/6</f>
        <v>15.833333333333334</v>
      </c>
    </row>
    <row r="5" spans="1:7" ht="30" x14ac:dyDescent="0.25">
      <c r="A5" s="7" t="s">
        <v>9</v>
      </c>
      <c r="B5" s="2" t="s">
        <v>34</v>
      </c>
      <c r="C5" s="36"/>
      <c r="D5" s="4">
        <v>5</v>
      </c>
      <c r="E5" s="3">
        <v>10</v>
      </c>
      <c r="F5" s="3">
        <v>15</v>
      </c>
      <c r="G5" s="8">
        <f t="shared" si="1"/>
        <v>10</v>
      </c>
    </row>
    <row r="6" spans="1:7" ht="30.75" thickBot="1" x14ac:dyDescent="0.3">
      <c r="A6" s="13" t="s">
        <v>10</v>
      </c>
      <c r="B6" s="14" t="s">
        <v>35</v>
      </c>
      <c r="C6" s="37"/>
      <c r="D6" s="15">
        <v>3</v>
      </c>
      <c r="E6" s="16">
        <v>3</v>
      </c>
      <c r="F6" s="16">
        <v>5</v>
      </c>
      <c r="G6" s="17">
        <f t="shared" si="1"/>
        <v>3.3333333333333335</v>
      </c>
    </row>
    <row r="7" spans="1:7" ht="30" x14ac:dyDescent="0.25">
      <c r="A7" s="5" t="s">
        <v>11</v>
      </c>
      <c r="B7" s="6" t="s">
        <v>36</v>
      </c>
      <c r="C7" s="30" t="s">
        <v>56</v>
      </c>
      <c r="D7" s="22">
        <f>SUM(D8:D10)</f>
        <v>15</v>
      </c>
      <c r="E7" s="22">
        <f t="shared" ref="E7:F7" si="2">SUM(E8:E10)</f>
        <v>34</v>
      </c>
      <c r="F7" s="22">
        <f t="shared" si="2"/>
        <v>60</v>
      </c>
      <c r="G7" s="23">
        <f t="shared" si="1"/>
        <v>35.166666666666664</v>
      </c>
    </row>
    <row r="8" spans="1:7" ht="30" x14ac:dyDescent="0.25">
      <c r="A8" s="7" t="s">
        <v>12</v>
      </c>
      <c r="B8" s="2" t="s">
        <v>37</v>
      </c>
      <c r="C8" s="36"/>
      <c r="D8" s="4">
        <v>5</v>
      </c>
      <c r="E8" s="3">
        <v>12</v>
      </c>
      <c r="F8" s="3">
        <v>20</v>
      </c>
      <c r="G8" s="8">
        <f t="shared" si="1"/>
        <v>12.166666666666666</v>
      </c>
    </row>
    <row r="9" spans="1:7" ht="30" x14ac:dyDescent="0.25">
      <c r="A9" s="7" t="s">
        <v>13</v>
      </c>
      <c r="B9" s="2" t="s">
        <v>38</v>
      </c>
      <c r="C9" s="36"/>
      <c r="D9" s="4">
        <v>5</v>
      </c>
      <c r="E9" s="3">
        <v>12</v>
      </c>
      <c r="F9" s="3">
        <v>20</v>
      </c>
      <c r="G9" s="8">
        <f t="shared" si="1"/>
        <v>12.166666666666666</v>
      </c>
    </row>
    <row r="10" spans="1:7" ht="30.75" thickBot="1" x14ac:dyDescent="0.3">
      <c r="A10" s="9" t="s">
        <v>14</v>
      </c>
      <c r="B10" s="10" t="s">
        <v>39</v>
      </c>
      <c r="C10" s="34"/>
      <c r="D10" s="24">
        <v>5</v>
      </c>
      <c r="E10" s="11">
        <v>10</v>
      </c>
      <c r="F10" s="11">
        <v>20</v>
      </c>
      <c r="G10" s="12">
        <f t="shared" si="1"/>
        <v>10.833333333333334</v>
      </c>
    </row>
    <row r="11" spans="1:7" ht="45" x14ac:dyDescent="0.25">
      <c r="A11" s="5" t="s">
        <v>15</v>
      </c>
      <c r="B11" s="6" t="s">
        <v>40</v>
      </c>
      <c r="C11" s="6" t="s">
        <v>59</v>
      </c>
      <c r="D11" s="22">
        <f>SUM(D12:D14)</f>
        <v>25</v>
      </c>
      <c r="E11" s="22">
        <f t="shared" ref="E11:F11" si="3">SUM(E12:E14)</f>
        <v>46</v>
      </c>
      <c r="F11" s="22">
        <f t="shared" si="3"/>
        <v>65</v>
      </c>
      <c r="G11" s="23">
        <f t="shared" si="1"/>
        <v>45.666666666666664</v>
      </c>
    </row>
    <row r="12" spans="1:7" ht="45" x14ac:dyDescent="0.25">
      <c r="A12" s="7" t="s">
        <v>17</v>
      </c>
      <c r="B12" s="2" t="s">
        <v>41</v>
      </c>
      <c r="C12" s="2" t="s">
        <v>57</v>
      </c>
      <c r="D12" s="4">
        <v>10</v>
      </c>
      <c r="E12" s="3">
        <v>20</v>
      </c>
      <c r="F12" s="3">
        <v>30</v>
      </c>
      <c r="G12" s="8">
        <f t="shared" si="1"/>
        <v>20</v>
      </c>
    </row>
    <row r="13" spans="1:7" ht="30" x14ac:dyDescent="0.25">
      <c r="A13" s="7" t="s">
        <v>18</v>
      </c>
      <c r="B13" s="2" t="s">
        <v>42</v>
      </c>
      <c r="C13" s="2" t="s">
        <v>56</v>
      </c>
      <c r="D13" s="4">
        <v>5</v>
      </c>
      <c r="E13" s="3">
        <v>10</v>
      </c>
      <c r="F13" s="3">
        <v>15</v>
      </c>
      <c r="G13" s="8">
        <f t="shared" si="1"/>
        <v>10</v>
      </c>
    </row>
    <row r="14" spans="1:7" ht="30.75" thickBot="1" x14ac:dyDescent="0.3">
      <c r="A14" s="9" t="s">
        <v>19</v>
      </c>
      <c r="B14" s="10" t="s">
        <v>43</v>
      </c>
      <c r="C14" s="10" t="s">
        <v>58</v>
      </c>
      <c r="D14" s="24">
        <v>10</v>
      </c>
      <c r="E14" s="11">
        <v>16</v>
      </c>
      <c r="F14" s="11">
        <v>20</v>
      </c>
      <c r="G14" s="12">
        <f t="shared" si="1"/>
        <v>15.666666666666666</v>
      </c>
    </row>
    <row r="15" spans="1:7" ht="30" x14ac:dyDescent="0.25">
      <c r="A15" s="5" t="s">
        <v>20</v>
      </c>
      <c r="B15" s="6" t="s">
        <v>44</v>
      </c>
      <c r="C15" s="6" t="s">
        <v>60</v>
      </c>
      <c r="D15" s="22">
        <f>SUM(D16:D20)</f>
        <v>62</v>
      </c>
      <c r="E15" s="22">
        <f t="shared" ref="E15:F15" si="4">SUM(E16:E20)</f>
        <v>103</v>
      </c>
      <c r="F15" s="22">
        <f t="shared" si="4"/>
        <v>140</v>
      </c>
      <c r="G15" s="23">
        <f t="shared" si="1"/>
        <v>102.33333333333333</v>
      </c>
    </row>
    <row r="16" spans="1:7" ht="30" x14ac:dyDescent="0.25">
      <c r="A16" s="7" t="s">
        <v>21</v>
      </c>
      <c r="B16" s="2" t="s">
        <v>45</v>
      </c>
      <c r="C16" s="2" t="s">
        <v>61</v>
      </c>
      <c r="D16" s="4">
        <v>15</v>
      </c>
      <c r="E16" s="3">
        <v>25</v>
      </c>
      <c r="F16" s="3">
        <v>35</v>
      </c>
      <c r="G16" s="8">
        <f t="shared" si="1"/>
        <v>25</v>
      </c>
    </row>
    <row r="17" spans="1:7" ht="30" x14ac:dyDescent="0.25">
      <c r="A17" s="7" t="s">
        <v>22</v>
      </c>
      <c r="B17" s="2" t="s">
        <v>46</v>
      </c>
      <c r="C17" s="2" t="s">
        <v>61</v>
      </c>
      <c r="D17" s="4">
        <v>10</v>
      </c>
      <c r="E17" s="3">
        <v>15</v>
      </c>
      <c r="F17" s="3">
        <v>20</v>
      </c>
      <c r="G17" s="8">
        <f t="shared" si="1"/>
        <v>15</v>
      </c>
    </row>
    <row r="18" spans="1:7" ht="30" x14ac:dyDescent="0.25">
      <c r="A18" s="7" t="s">
        <v>23</v>
      </c>
      <c r="B18" s="2" t="s">
        <v>47</v>
      </c>
      <c r="C18" s="2" t="s">
        <v>61</v>
      </c>
      <c r="D18" s="4">
        <v>10</v>
      </c>
      <c r="E18" s="3">
        <v>15</v>
      </c>
      <c r="F18" s="3">
        <v>25</v>
      </c>
      <c r="G18" s="8">
        <f t="shared" si="1"/>
        <v>15.833333333333334</v>
      </c>
    </row>
    <row r="19" spans="1:7" ht="30" x14ac:dyDescent="0.25">
      <c r="A19" s="7" t="s">
        <v>24</v>
      </c>
      <c r="B19" s="2" t="s">
        <v>48</v>
      </c>
      <c r="C19" s="2" t="s">
        <v>58</v>
      </c>
      <c r="D19" s="4">
        <v>15</v>
      </c>
      <c r="E19" s="3">
        <v>25</v>
      </c>
      <c r="F19" s="3">
        <v>35</v>
      </c>
      <c r="G19" s="8">
        <f t="shared" si="1"/>
        <v>25</v>
      </c>
    </row>
    <row r="20" spans="1:7" ht="30.75" thickBot="1" x14ac:dyDescent="0.3">
      <c r="A20" s="9" t="s">
        <v>25</v>
      </c>
      <c r="B20" s="10" t="s">
        <v>49</v>
      </c>
      <c r="C20" s="10" t="s">
        <v>62</v>
      </c>
      <c r="D20" s="24">
        <v>12</v>
      </c>
      <c r="E20" s="11">
        <v>23</v>
      </c>
      <c r="F20" s="11">
        <v>25</v>
      </c>
      <c r="G20" s="12">
        <f t="shared" si="1"/>
        <v>21.5</v>
      </c>
    </row>
    <row r="21" spans="1:7" ht="30" x14ac:dyDescent="0.25">
      <c r="A21" s="5" t="s">
        <v>26</v>
      </c>
      <c r="B21" s="6" t="s">
        <v>50</v>
      </c>
      <c r="C21" s="6" t="s">
        <v>63</v>
      </c>
      <c r="D21" s="22">
        <f>SUM(D22:D25)</f>
        <v>30</v>
      </c>
      <c r="E21" s="22">
        <f t="shared" ref="E21:F21" si="5">SUM(E22:E25)</f>
        <v>46</v>
      </c>
      <c r="F21" s="22">
        <f t="shared" si="5"/>
        <v>65</v>
      </c>
      <c r="G21" s="23">
        <f t="shared" si="1"/>
        <v>46.5</v>
      </c>
    </row>
    <row r="22" spans="1:7" ht="30" x14ac:dyDescent="0.25">
      <c r="A22" s="7" t="s">
        <v>27</v>
      </c>
      <c r="B22" s="2" t="s">
        <v>51</v>
      </c>
      <c r="C22" s="2" t="s">
        <v>64</v>
      </c>
      <c r="D22" s="4">
        <v>5</v>
      </c>
      <c r="E22" s="3">
        <v>8</v>
      </c>
      <c r="F22" s="3">
        <v>15</v>
      </c>
      <c r="G22" s="8">
        <f t="shared" si="1"/>
        <v>8.6666666666666661</v>
      </c>
    </row>
    <row r="23" spans="1:7" ht="45" x14ac:dyDescent="0.25">
      <c r="A23" s="7" t="s">
        <v>28</v>
      </c>
      <c r="B23" s="2" t="s">
        <v>52</v>
      </c>
      <c r="C23" s="2" t="s">
        <v>65</v>
      </c>
      <c r="D23" s="4">
        <v>15</v>
      </c>
      <c r="E23" s="3">
        <v>20</v>
      </c>
      <c r="F23" s="3">
        <v>30</v>
      </c>
      <c r="G23" s="8">
        <f t="shared" si="1"/>
        <v>20.833333333333332</v>
      </c>
    </row>
    <row r="24" spans="1:7" ht="30" x14ac:dyDescent="0.25">
      <c r="A24" s="7" t="s">
        <v>29</v>
      </c>
      <c r="B24" s="2" t="s">
        <v>53</v>
      </c>
      <c r="C24" s="2" t="s">
        <v>64</v>
      </c>
      <c r="D24" s="4">
        <v>5</v>
      </c>
      <c r="E24" s="3">
        <v>10</v>
      </c>
      <c r="F24" s="3">
        <v>10</v>
      </c>
      <c r="G24" s="8">
        <f t="shared" si="1"/>
        <v>9.1666666666666661</v>
      </c>
    </row>
    <row r="25" spans="1:7" ht="45.75" thickBot="1" x14ac:dyDescent="0.3">
      <c r="A25" s="9" t="s">
        <v>30</v>
      </c>
      <c r="B25" s="10" t="s">
        <v>54</v>
      </c>
      <c r="C25" s="10" t="s">
        <v>64</v>
      </c>
      <c r="D25" s="24">
        <v>5</v>
      </c>
      <c r="E25" s="11">
        <v>8</v>
      </c>
      <c r="F25" s="11">
        <v>10</v>
      </c>
      <c r="G25" s="12">
        <f t="shared" si="1"/>
        <v>7.833333333333333</v>
      </c>
    </row>
    <row r="26" spans="1:7" ht="15.75" thickBot="1" x14ac:dyDescent="0.3">
      <c r="A26" s="18"/>
      <c r="B26" s="19" t="s">
        <v>31</v>
      </c>
      <c r="C26" s="19"/>
      <c r="D26" s="20">
        <f>SUM(D21,D15,D11,D7,D3)</f>
        <v>150</v>
      </c>
      <c r="E26" s="20">
        <f t="shared" ref="E26:F26" si="6">SUM(E21,E15,E11,E7,E3)</f>
        <v>257</v>
      </c>
      <c r="F26" s="20">
        <f t="shared" si="6"/>
        <v>375</v>
      </c>
      <c r="G26" s="21">
        <f>SUM(G21,G15,G11,G7,G3)</f>
        <v>258.83333333333331</v>
      </c>
    </row>
  </sheetData>
  <mergeCells count="6">
    <mergeCell ref="C7:C10"/>
    <mergeCell ref="D1:G1"/>
    <mergeCell ref="A1:A2"/>
    <mergeCell ref="B1:B2"/>
    <mergeCell ref="C1:C2"/>
    <mergeCell ref="C3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Гурулёв</dc:creator>
  <cp:lastModifiedBy>Александр Гурулёв</cp:lastModifiedBy>
  <dcterms:created xsi:type="dcterms:W3CDTF">2015-06-05T18:19:34Z</dcterms:created>
  <dcterms:modified xsi:type="dcterms:W3CDTF">2026-05-30T22:14:16Z</dcterms:modified>
</cp:coreProperties>
</file>