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Артём\Downloads\"/>
    </mc:Choice>
  </mc:AlternateContent>
  <xr:revisionPtr revIDLastSave="0" documentId="13_ncr:1_{05B682C5-BCE6-49E1-ABAF-FE59E97562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21" i="1"/>
  <c r="C20" i="1"/>
  <c r="C19" i="1"/>
  <c r="C18" i="1"/>
  <c r="C17" i="1"/>
  <c r="C16" i="1"/>
  <c r="C15" i="1"/>
  <c r="C14" i="1"/>
  <c r="C13" i="1"/>
  <c r="G9" i="1"/>
  <c r="D9" i="1"/>
  <c r="H9" i="1"/>
  <c r="I3" i="1"/>
  <c r="I4" i="1"/>
  <c r="I5" i="1"/>
  <c r="I6" i="1"/>
  <c r="I9" i="1" s="1"/>
  <c r="I7" i="1"/>
  <c r="I8" i="1"/>
  <c r="I2" i="1"/>
  <c r="H4" i="1"/>
  <c r="H5" i="1"/>
  <c r="H3" i="1"/>
  <c r="H2" i="1"/>
</calcChain>
</file>

<file path=xl/sharedStrings.xml><?xml version="1.0" encoding="utf-8"?>
<sst xmlns="http://schemas.openxmlformats.org/spreadsheetml/2006/main" count="41" uniqueCount="39">
  <si>
    <t>Анализ требований</t>
  </si>
  <si>
    <t>Концептуальное проектирование</t>
  </si>
  <si>
    <t>Техническое проектирование</t>
  </si>
  <si>
    <t>Рабочее проектирование</t>
  </si>
  <si>
    <t>Тестирование</t>
  </si>
  <si>
    <t>Документирование</t>
  </si>
  <si>
    <t>Внедрение</t>
  </si>
  <si>
    <t>Работа</t>
  </si>
  <si>
    <t>Дата начала</t>
  </si>
  <si>
    <t>Дата окончания</t>
  </si>
  <si>
    <t>Плановая стоимость</t>
  </si>
  <si>
    <t>Сумма нарастающим итогом</t>
  </si>
  <si>
    <t>Процент выполнения</t>
  </si>
  <si>
    <t>Фактическая сумма</t>
  </si>
  <si>
    <t>Плановый объем</t>
  </si>
  <si>
    <t>Освоенный объем</t>
  </si>
  <si>
    <t>Параметр</t>
  </si>
  <si>
    <t>PV</t>
  </si>
  <si>
    <t>EV</t>
  </si>
  <si>
    <t>AC</t>
  </si>
  <si>
    <t>BAC</t>
  </si>
  <si>
    <t>CV</t>
  </si>
  <si>
    <t>SV</t>
  </si>
  <si>
    <t>CPI</t>
  </si>
  <si>
    <t>SPI</t>
  </si>
  <si>
    <t>EAC</t>
  </si>
  <si>
    <t>ETC</t>
  </si>
  <si>
    <t>VAC</t>
  </si>
  <si>
    <t>Наменование параметра</t>
  </si>
  <si>
    <t>Фактическая стоимость</t>
  </si>
  <si>
    <t>Бюджет по завершении</t>
  </si>
  <si>
    <t>Отклонение по стоимости</t>
  </si>
  <si>
    <t>Отклонение по срокам</t>
  </si>
  <si>
    <t>Индекс выполнения стоимости</t>
  </si>
  <si>
    <t>Индекс выполнения объема</t>
  </si>
  <si>
    <t>Прогноз бюджета по завершении</t>
  </si>
  <si>
    <t>Прогноз до завершения</t>
  </si>
  <si>
    <t>Расхождение по завершению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</si>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</sst>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67" workbookViewId="0">
      <selection activeCell="E22" sqref="E22"/>
    </sheetView>
  </sheetViews>
  <sheetFormatPr defaultRowHeight="14.4" x14ac:dyDescent="0.3"/>
  <cols>
    <col min="1" max="3" width="30.796875" customWidth="1"/>
    <col min="4" max="4" width="28.296875" customWidth="1"/>
    <col min="5" max="9" width="30.796875" customWidth="1"/>
  </cols>
  <sheetData>
    <row r="1" spans="1:9" ht="15.6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ht="15.6" x14ac:dyDescent="0.3">
      <c r="A2" s="1" t="s">
        <v>0</v>
      </c>
      <c r="B2" s="2">
        <v>46055</v>
      </c>
      <c r="C2" s="2">
        <v>46059</v>
      </c>
      <c r="D2" s="3">
        <v>500</v>
      </c>
      <c r="E2" s="1">
        <v>500</v>
      </c>
      <c r="F2" s="3">
        <v>100</v>
      </c>
      <c r="G2" s="1">
        <v>350</v>
      </c>
      <c r="H2" s="1">
        <f>D2</f>
        <v>500</v>
      </c>
      <c r="I2" s="1">
        <f>H2*(F2/100)</f>
        <v>500</v>
      </c>
    </row>
    <row r="3" spans="1:9" ht="15.6" x14ac:dyDescent="0.3">
      <c r="A3" s="1" t="s">
        <v>1</v>
      </c>
      <c r="B3" s="2">
        <v>46062</v>
      </c>
      <c r="C3" s="2">
        <v>46066</v>
      </c>
      <c r="D3" s="3">
        <v>1500</v>
      </c>
      <c r="E3" s="1">
        <v>2000</v>
      </c>
      <c r="F3" s="3">
        <v>100</v>
      </c>
      <c r="G3" s="1">
        <v>3000</v>
      </c>
      <c r="H3" s="1">
        <f>D3</f>
        <v>1500</v>
      </c>
      <c r="I3" s="1">
        <f t="shared" ref="I3:I8" si="0">H3*(F3/100)</f>
        <v>1500</v>
      </c>
    </row>
    <row r="4" spans="1:9" ht="15.6" x14ac:dyDescent="0.3">
      <c r="A4" s="1" t="s">
        <v>2</v>
      </c>
      <c r="B4" s="2">
        <v>46069</v>
      </c>
      <c r="C4" s="2">
        <v>46080</v>
      </c>
      <c r="D4" s="3">
        <v>1500</v>
      </c>
      <c r="E4" s="1">
        <v>3500</v>
      </c>
      <c r="F4" s="3">
        <v>100</v>
      </c>
      <c r="G4" s="1">
        <v>800</v>
      </c>
      <c r="H4" s="1">
        <f>D4</f>
        <v>1500</v>
      </c>
      <c r="I4" s="1">
        <f t="shared" si="0"/>
        <v>1500</v>
      </c>
    </row>
    <row r="5" spans="1:9" ht="15.6" x14ac:dyDescent="0.3">
      <c r="A5" s="1" t="s">
        <v>3</v>
      </c>
      <c r="B5" s="2">
        <v>46076</v>
      </c>
      <c r="C5" s="2">
        <v>46101</v>
      </c>
      <c r="D5" s="3">
        <v>20000</v>
      </c>
      <c r="E5" s="1">
        <v>23500</v>
      </c>
      <c r="F5" s="3">
        <v>50</v>
      </c>
      <c r="G5" s="1">
        <v>7000</v>
      </c>
      <c r="H5" s="1">
        <f>D5*0.25</f>
        <v>5000</v>
      </c>
      <c r="I5" s="1">
        <f t="shared" si="0"/>
        <v>2500</v>
      </c>
    </row>
    <row r="6" spans="1:9" ht="15.6" x14ac:dyDescent="0.3">
      <c r="A6" s="1" t="s">
        <v>4</v>
      </c>
      <c r="B6" s="2">
        <v>46104</v>
      </c>
      <c r="C6" s="2">
        <v>46108</v>
      </c>
      <c r="D6" s="3">
        <v>7000</v>
      </c>
      <c r="E6" s="1">
        <v>30500</v>
      </c>
      <c r="F6" s="3"/>
      <c r="G6" s="1"/>
      <c r="H6" s="1">
        <v>0</v>
      </c>
      <c r="I6" s="1">
        <f t="shared" si="0"/>
        <v>0</v>
      </c>
    </row>
    <row r="7" spans="1:9" ht="15.6" x14ac:dyDescent="0.3">
      <c r="A7" s="1" t="s">
        <v>5</v>
      </c>
      <c r="B7" s="2">
        <v>46113</v>
      </c>
      <c r="C7" s="2">
        <v>46115</v>
      </c>
      <c r="D7" s="3">
        <v>500</v>
      </c>
      <c r="E7" s="1">
        <v>31000</v>
      </c>
      <c r="F7" s="3">
        <v>0</v>
      </c>
      <c r="G7" s="1">
        <v>0</v>
      </c>
      <c r="H7" s="1">
        <v>0</v>
      </c>
      <c r="I7" s="1">
        <f t="shared" si="0"/>
        <v>0</v>
      </c>
    </row>
    <row r="8" spans="1:9" ht="15.6" x14ac:dyDescent="0.3">
      <c r="A8" s="1" t="s">
        <v>6</v>
      </c>
      <c r="B8" s="2">
        <v>46118</v>
      </c>
      <c r="C8" s="2">
        <v>46122</v>
      </c>
      <c r="D8" s="3">
        <v>3000</v>
      </c>
      <c r="E8" s="1">
        <v>34000</v>
      </c>
      <c r="F8" s="3">
        <v>0</v>
      </c>
      <c r="G8" s="1">
        <v>0</v>
      </c>
      <c r="H8" s="1">
        <v>0</v>
      </c>
      <c r="I8" s="1">
        <f t="shared" si="0"/>
        <v>0</v>
      </c>
    </row>
    <row r="9" spans="1:9" ht="15.6" x14ac:dyDescent="0.3">
      <c r="A9" s="1"/>
      <c r="B9" s="1"/>
      <c r="C9" s="2"/>
      <c r="D9" s="3">
        <f>SUM(D2:D8)</f>
        <v>34000</v>
      </c>
      <c r="E9" s="1"/>
      <c r="F9" s="1"/>
      <c r="G9" s="1">
        <f>SUM(G2:G8)</f>
        <v>11150</v>
      </c>
      <c r="H9" s="1">
        <f>SUM(H2:H8)</f>
        <v>8500</v>
      </c>
      <c r="I9" s="1">
        <f>SUM(I2:I8)</f>
        <v>6000</v>
      </c>
    </row>
    <row r="10" spans="1:9" ht="15.6" x14ac:dyDescent="0.3">
      <c r="A10" s="1"/>
      <c r="B10" s="1"/>
      <c r="C10" s="1"/>
      <c r="D10" s="1"/>
      <c r="E10" s="1"/>
      <c r="F10" s="1"/>
      <c r="G10" s="1"/>
      <c r="H10" s="1"/>
      <c r="I10" s="1"/>
    </row>
    <row r="12" spans="1:9" ht="15.6" x14ac:dyDescent="0.3">
      <c r="A12" t="s">
        <v>16</v>
      </c>
      <c r="B12" t="s">
        <v>28</v>
      </c>
      <c r="C12" t="s">
        <v>38</v>
      </c>
    </row>
    <row r="13" spans="1:9" ht="15.6" x14ac:dyDescent="0.3">
      <c r="A13" t="s">
        <v>17</v>
      </c>
      <c r="B13" t="s">
        <v>14</v>
      </c>
      <c r="C13">
        <f>H9</f>
        <v>8500</v>
      </c>
    </row>
    <row r="14" spans="1:9" ht="15.6" x14ac:dyDescent="0.3">
      <c r="A14" t="s">
        <v>18</v>
      </c>
      <c r="B14" t="s">
        <v>15</v>
      </c>
      <c r="C14">
        <f>I9</f>
        <v>6000</v>
      </c>
    </row>
    <row r="15" spans="1:9" ht="15.6" x14ac:dyDescent="0.3">
      <c r="A15" t="s">
        <v>19</v>
      </c>
      <c r="B15" t="s">
        <v>29</v>
      </c>
      <c r="C15">
        <f>G9</f>
        <v>11150</v>
      </c>
    </row>
    <row r="16" spans="1:9" ht="15.6" x14ac:dyDescent="0.3">
      <c r="A16" t="s">
        <v>20</v>
      </c>
      <c r="B16" t="s">
        <v>30</v>
      </c>
      <c r="C16">
        <f>D9</f>
        <v>34000</v>
      </c>
    </row>
    <row r="17" spans="1:3" ht="15.6" x14ac:dyDescent="0.3">
      <c r="A17" t="s">
        <v>21</v>
      </c>
      <c r="B17" t="s">
        <v>31</v>
      </c>
      <c r="C17">
        <f>C14-C15</f>
        <v>-5150</v>
      </c>
    </row>
    <row r="18" spans="1:3" ht="15.6" x14ac:dyDescent="0.3">
      <c r="A18" t="s">
        <v>22</v>
      </c>
      <c r="B18" t="s">
        <v>32</v>
      </c>
      <c r="C18">
        <f>C14-C13</f>
        <v>-2500</v>
      </c>
    </row>
    <row r="19" spans="1:3" ht="15.6" x14ac:dyDescent="0.3">
      <c r="A19" t="s">
        <v>23</v>
      </c>
      <c r="B19" t="s">
        <v>33</v>
      </c>
      <c r="C19">
        <f>C14/C15</f>
        <v>0.53811659192825112</v>
      </c>
    </row>
    <row r="20" spans="1:3" ht="15.6" x14ac:dyDescent="0.3">
      <c r="A20" t="s">
        <v>24</v>
      </c>
      <c r="B20" t="s">
        <v>34</v>
      </c>
      <c r="C20">
        <f>C14/C13</f>
        <v>0.70588235294117652</v>
      </c>
    </row>
    <row r="21" spans="1:3" ht="15.6" x14ac:dyDescent="0.3">
      <c r="A21" t="s">
        <v>25</v>
      </c>
      <c r="B21" t="s">
        <v>35</v>
      </c>
      <c r="C21">
        <f>C16/C19</f>
        <v>63183.333333333336</v>
      </c>
    </row>
    <row r="22" spans="1:3" ht="15.6" x14ac:dyDescent="0.3">
      <c r="A22" t="s">
        <v>26</v>
      </c>
      <c r="B22" t="s">
        <v>36</v>
      </c>
      <c r="C22">
        <f>C21-C15</f>
        <v>52033.333333333336</v>
      </c>
    </row>
    <row r="23" spans="1:3" ht="15.6" x14ac:dyDescent="0.3">
      <c r="A23" t="s">
        <v>27</v>
      </c>
      <c r="B23" t="s">
        <v>37</v>
      </c>
      <c r="C23">
        <f>C16-C21</f>
        <v>-29183.333333333336</v>
      </c>
    </row>
    <row r="24" spans="1:3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Артём</cp:lastModifiedBy>
  <dcterms:modified xsi:type="dcterms:W3CDTF">2026-06-09T06:43:35Z</dcterms:modified>
</cp:coreProperties>
</file>