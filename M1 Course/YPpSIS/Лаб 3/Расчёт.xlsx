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Артём\Desktop\"/>
    </mc:Choice>
  </mc:AlternateContent>
  <xr:revisionPtr revIDLastSave="0" documentId="13_ncr:1_{9BE67E92-63E8-4AF1-B960-CDDBAB4FAA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J19" i="1"/>
  <c r="I19" i="1"/>
  <c r="H19" i="1"/>
  <c r="G19" i="1"/>
  <c r="F19" i="1"/>
  <c r="C19" i="1"/>
  <c r="E1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" i="1"/>
  <c r="K2" i="1"/>
  <c r="I3" i="1"/>
  <c r="I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1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</calcChain>
</file>

<file path=xl/sharedStrings.xml><?xml version="1.0" encoding="utf-8"?>
<sst xmlns="http://schemas.openxmlformats.org/spreadsheetml/2006/main" count="53" uniqueCount="47">
  <si>
    <t>№</t>
  </si>
  <si>
    <t>Название задачи</t>
  </si>
  <si>
    <r>
      <t>Б</t>
    </r>
    <r>
      <rPr>
        <sz val="10"/>
        <color theme="1"/>
        <rFont val="Calibri"/>
        <family val="2"/>
        <scheme val="minor"/>
      </rPr>
      <t>юджет задачи (BAC)</t>
    </r>
  </si>
  <si>
    <t>% выполнения</t>
  </si>
  <si>
    <t>PV (Плановый объем)</t>
  </si>
  <si>
    <t>EV</t>
  </si>
  <si>
    <t>AC</t>
  </si>
  <si>
    <t>CV</t>
  </si>
  <si>
    <t>SV</t>
  </si>
  <si>
    <t>CPI</t>
  </si>
  <si>
    <t>SPI</t>
  </si>
  <si>
    <t>BAC</t>
  </si>
  <si>
    <t>PV</t>
  </si>
  <si>
    <t>Управление проектом и анализ</t>
  </si>
  <si>
    <t>Сбор и анализ требований</t>
  </si>
  <si>
    <t>Проектирование архитектуры</t>
  </si>
  <si>
    <t>Разработка модулей</t>
  </si>
  <si>
    <t>Модуль интеграции</t>
  </si>
  <si>
    <t>Коннектор к 1С</t>
  </si>
  <si>
    <t>Коннектор к банкам</t>
  </si>
  <si>
    <t>Хранилище данных</t>
  </si>
  <si>
    <t>Настройка PostgreSQL/ClickHouse</t>
  </si>
  <si>
    <t>Разработка ETL(Backend)</t>
  </si>
  <si>
    <t>ML-модуль</t>
  </si>
  <si>
    <t>Модель прогноза временных рядов (ML)</t>
  </si>
  <si>
    <t>Классификатор риска (ML)</t>
  </si>
  <si>
    <t>Обучение и валидация (ML)</t>
  </si>
  <si>
    <t>API-сервер</t>
  </si>
  <si>
    <t>Веб-дашборд</t>
  </si>
  <si>
    <t>Модуль алертов</t>
  </si>
  <si>
    <t>EAC</t>
  </si>
  <si>
    <t>ETC</t>
  </si>
  <si>
    <t>VAC</t>
  </si>
  <si>
    <t>1.0</t>
  </si>
  <si>
    <t>0.77</t>
  </si>
  <si>
    <t>1 310 00</t>
  </si>
  <si>
    <t>Бюджет по завершении</t>
  </si>
  <si>
    <t>Плановый объем</t>
  </si>
  <si>
    <t>Освоенный объем</t>
  </si>
  <si>
    <t>Фактическая стоимость</t>
  </si>
  <si>
    <t>Отклонение по стоимости</t>
  </si>
  <si>
    <t>Отклонение по срокам</t>
  </si>
  <si>
    <t>Индекс выполнения стоимости</t>
  </si>
  <si>
    <t>Индекс выполнения сроков</t>
  </si>
  <si>
    <t>Прогноз по завершении</t>
  </si>
  <si>
    <t>Прогноз до завершения</t>
  </si>
  <si>
    <t>Расхождение при завершении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</si>
</sst>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8583F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NumberFormat="1" applyAlignment="1">
      <alignment horizontal="center"/>
    </xf>
    <xf numFmtId="2" fontId="0" fillId="0" borderId="0" xfId="0" applyNumberFormat="1" applyFont="1"/>
    <xf numFmtId="3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10" workbookViewId="0">
      <selection activeCell="E26" sqref="E26"/>
    </sheetView>
  </sheetViews>
  <sheetFormatPr defaultRowHeight="14.4" x14ac:dyDescent="0.3"/>
  <cols>
    <col min="2" max="2" width="35.77734375" customWidth="1"/>
    <col min="3" max="3" width="17.88671875" customWidth="1"/>
    <col min="4" max="4" width="12.88671875" customWidth="1"/>
    <col min="5" max="5" width="19.109375" customWidth="1"/>
    <col min="9" max="9" width="10.109375" bestFit="1" customWidth="1"/>
  </cols>
  <sheetData>
    <row r="1" spans="1:11" x14ac:dyDescent="0.3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">
      <c r="A2" s="4">
        <v>1</v>
      </c>
      <c r="B2" s="4" t="s">
        <v>13</v>
      </c>
      <c r="C2" s="7">
        <v>140000</v>
      </c>
      <c r="D2" s="9">
        <v>100</v>
      </c>
      <c r="E2" s="7">
        <v>140000</v>
      </c>
      <c r="F2" s="2">
        <f>C2*(D2/100)</f>
        <v>140000</v>
      </c>
      <c r="G2" s="2">
        <f>D2*(E2/100)</f>
        <v>140000</v>
      </c>
      <c r="H2" s="2">
        <f>F2-G2</f>
        <v>0</v>
      </c>
      <c r="I2" s="10">
        <f>F2-E2</f>
        <v>0</v>
      </c>
      <c r="J2" s="2">
        <f>IF(G2=0,0,F2/G2)</f>
        <v>1</v>
      </c>
      <c r="K2" s="2">
        <f>IF(E2=0,0,F2/E2)</f>
        <v>1</v>
      </c>
    </row>
    <row r="3" spans="1:11" x14ac:dyDescent="0.3">
      <c r="A3" s="4">
        <v>2</v>
      </c>
      <c r="B3" s="4" t="s">
        <v>14</v>
      </c>
      <c r="C3" s="7">
        <v>95000</v>
      </c>
      <c r="D3" s="4">
        <v>100</v>
      </c>
      <c r="E3" s="7">
        <v>95000</v>
      </c>
      <c r="F3" s="2">
        <f t="shared" ref="F3:G18" si="0">C3*(D3/100)</f>
        <v>95000</v>
      </c>
      <c r="G3" s="2">
        <f t="shared" si="0"/>
        <v>95000</v>
      </c>
      <c r="H3" s="2">
        <f t="shared" ref="H3:H17" si="1">F3-G3</f>
        <v>0</v>
      </c>
      <c r="I3" s="10">
        <f t="shared" ref="I3:I18" si="2">F3-E3</f>
        <v>0</v>
      </c>
      <c r="J3" s="2">
        <f t="shared" ref="J3:J19" si="3">IF(G3=0,0,F3/G3)</f>
        <v>1</v>
      </c>
      <c r="K3" s="2">
        <f t="shared" ref="K3:K18" si="4">IF(E3=0,0,F3/E3)</f>
        <v>1</v>
      </c>
    </row>
    <row r="4" spans="1:11" x14ac:dyDescent="0.3">
      <c r="A4" s="4">
        <v>3</v>
      </c>
      <c r="B4" s="4" t="s">
        <v>15</v>
      </c>
      <c r="C4" s="7">
        <v>45000</v>
      </c>
      <c r="D4" s="4">
        <v>100</v>
      </c>
      <c r="E4" s="7">
        <v>45000</v>
      </c>
      <c r="F4" s="2">
        <f t="shared" si="0"/>
        <v>45000</v>
      </c>
      <c r="G4" s="2">
        <f t="shared" si="0"/>
        <v>45000</v>
      </c>
      <c r="H4" s="2">
        <f t="shared" si="1"/>
        <v>0</v>
      </c>
      <c r="I4" s="10">
        <f t="shared" si="2"/>
        <v>0</v>
      </c>
      <c r="J4" s="2">
        <f t="shared" si="3"/>
        <v>1</v>
      </c>
      <c r="K4" s="2">
        <f t="shared" si="4"/>
        <v>1</v>
      </c>
    </row>
    <row r="5" spans="1:11" x14ac:dyDescent="0.3">
      <c r="A5" s="4">
        <v>4</v>
      </c>
      <c r="B5" s="4" t="s">
        <v>16</v>
      </c>
      <c r="C5" s="7">
        <v>362500</v>
      </c>
      <c r="D5" s="4">
        <v>70</v>
      </c>
      <c r="E5" s="7">
        <v>362500</v>
      </c>
      <c r="F5" s="2">
        <f t="shared" si="0"/>
        <v>253749.99999999997</v>
      </c>
      <c r="G5" s="2">
        <f t="shared" si="0"/>
        <v>253750</v>
      </c>
      <c r="H5" s="2">
        <f t="shared" si="1"/>
        <v>0</v>
      </c>
      <c r="I5" s="10">
        <v>-108750</v>
      </c>
      <c r="J5" s="2">
        <f t="shared" si="3"/>
        <v>0.99999999999999989</v>
      </c>
      <c r="K5" s="2">
        <f t="shared" si="4"/>
        <v>0.7</v>
      </c>
    </row>
    <row r="6" spans="1:11" x14ac:dyDescent="0.3">
      <c r="A6" s="4">
        <v>5</v>
      </c>
      <c r="B6" s="4" t="s">
        <v>17</v>
      </c>
      <c r="C6" s="7">
        <v>70000</v>
      </c>
      <c r="D6" s="4">
        <v>92</v>
      </c>
      <c r="E6" s="7">
        <v>70000</v>
      </c>
      <c r="F6" s="2">
        <f t="shared" si="0"/>
        <v>64400</v>
      </c>
      <c r="G6" s="2">
        <f t="shared" si="0"/>
        <v>64400</v>
      </c>
      <c r="H6" s="2">
        <f t="shared" si="1"/>
        <v>0</v>
      </c>
      <c r="I6" s="10">
        <f t="shared" si="2"/>
        <v>-5600</v>
      </c>
      <c r="J6" s="2">
        <f t="shared" si="3"/>
        <v>1</v>
      </c>
      <c r="K6" s="2">
        <f t="shared" si="4"/>
        <v>0.92</v>
      </c>
    </row>
    <row r="7" spans="1:11" x14ac:dyDescent="0.3">
      <c r="A7" s="4">
        <v>6</v>
      </c>
      <c r="B7" s="4" t="s">
        <v>18</v>
      </c>
      <c r="C7" s="7">
        <v>25000</v>
      </c>
      <c r="D7" s="4">
        <v>75</v>
      </c>
      <c r="E7" s="7">
        <v>25000</v>
      </c>
      <c r="F7" s="2">
        <f t="shared" si="0"/>
        <v>18750</v>
      </c>
      <c r="G7" s="2">
        <f t="shared" si="0"/>
        <v>18750</v>
      </c>
      <c r="H7" s="2">
        <f t="shared" si="1"/>
        <v>0</v>
      </c>
      <c r="I7" s="10">
        <f t="shared" si="2"/>
        <v>-6250</v>
      </c>
      <c r="J7" s="2">
        <f t="shared" si="3"/>
        <v>1</v>
      </c>
      <c r="K7" s="2">
        <f t="shared" si="4"/>
        <v>0.75</v>
      </c>
    </row>
    <row r="8" spans="1:11" x14ac:dyDescent="0.3">
      <c r="A8" s="4">
        <v>7</v>
      </c>
      <c r="B8" s="4" t="s">
        <v>19</v>
      </c>
      <c r="C8" s="7">
        <v>45000</v>
      </c>
      <c r="D8" s="4">
        <v>100</v>
      </c>
      <c r="E8" s="7">
        <v>45000</v>
      </c>
      <c r="F8" s="2">
        <f t="shared" si="0"/>
        <v>45000</v>
      </c>
      <c r="G8" s="2">
        <f t="shared" si="0"/>
        <v>45000</v>
      </c>
      <c r="H8" s="2">
        <f t="shared" si="1"/>
        <v>0</v>
      </c>
      <c r="I8" s="10">
        <f t="shared" si="2"/>
        <v>0</v>
      </c>
      <c r="J8" s="2">
        <f t="shared" si="3"/>
        <v>1</v>
      </c>
      <c r="K8" s="2">
        <f t="shared" si="4"/>
        <v>1</v>
      </c>
    </row>
    <row r="9" spans="1:11" x14ac:dyDescent="0.3">
      <c r="A9" s="4">
        <v>8</v>
      </c>
      <c r="B9" s="4" t="s">
        <v>20</v>
      </c>
      <c r="C9" s="7">
        <v>47500</v>
      </c>
      <c r="D9" s="4">
        <v>44</v>
      </c>
      <c r="E9" s="7">
        <v>47500</v>
      </c>
      <c r="F9" s="2">
        <f t="shared" si="0"/>
        <v>20900</v>
      </c>
      <c r="G9" s="2">
        <f t="shared" si="0"/>
        <v>20900</v>
      </c>
      <c r="H9" s="2">
        <f t="shared" si="1"/>
        <v>0</v>
      </c>
      <c r="I9" s="10">
        <f t="shared" si="2"/>
        <v>-26600</v>
      </c>
      <c r="J9" s="2">
        <f t="shared" si="3"/>
        <v>1</v>
      </c>
      <c r="K9" s="2">
        <f t="shared" si="4"/>
        <v>0.44</v>
      </c>
    </row>
    <row r="10" spans="1:11" x14ac:dyDescent="0.3">
      <c r="A10" s="4">
        <v>9</v>
      </c>
      <c r="B10" s="4" t="s">
        <v>21</v>
      </c>
      <c r="C10" s="7">
        <v>22500</v>
      </c>
      <c r="D10" s="4">
        <v>100</v>
      </c>
      <c r="E10" s="7">
        <v>22500</v>
      </c>
      <c r="F10" s="2">
        <f t="shared" si="0"/>
        <v>22500</v>
      </c>
      <c r="G10" s="2">
        <f t="shared" si="0"/>
        <v>22500</v>
      </c>
      <c r="H10" s="2">
        <f t="shared" si="1"/>
        <v>0</v>
      </c>
      <c r="I10" s="10">
        <f t="shared" si="2"/>
        <v>0</v>
      </c>
      <c r="J10" s="2">
        <f t="shared" si="3"/>
        <v>1</v>
      </c>
      <c r="K10" s="2">
        <f t="shared" si="4"/>
        <v>1</v>
      </c>
    </row>
    <row r="11" spans="1:11" x14ac:dyDescent="0.3">
      <c r="A11" s="4">
        <v>10</v>
      </c>
      <c r="B11" s="4" t="s">
        <v>22</v>
      </c>
      <c r="C11" s="7">
        <v>25000</v>
      </c>
      <c r="D11" s="4">
        <v>10</v>
      </c>
      <c r="E11" s="7">
        <v>25000</v>
      </c>
      <c r="F11" s="2">
        <f t="shared" si="0"/>
        <v>2500</v>
      </c>
      <c r="G11" s="2">
        <f t="shared" si="0"/>
        <v>2500</v>
      </c>
      <c r="H11" s="2">
        <f t="shared" si="1"/>
        <v>0</v>
      </c>
      <c r="I11" s="10">
        <f t="shared" si="2"/>
        <v>-22500</v>
      </c>
      <c r="J11" s="2">
        <f t="shared" si="3"/>
        <v>1</v>
      </c>
      <c r="K11" s="2">
        <f t="shared" si="4"/>
        <v>0.1</v>
      </c>
    </row>
    <row r="12" spans="1:11" x14ac:dyDescent="0.3">
      <c r="A12" s="4">
        <v>11</v>
      </c>
      <c r="B12" s="4" t="s">
        <v>23</v>
      </c>
      <c r="C12" s="7">
        <v>187500</v>
      </c>
      <c r="D12" s="4">
        <v>70</v>
      </c>
      <c r="E12" s="7">
        <v>187500</v>
      </c>
      <c r="F12" s="2">
        <f t="shared" si="0"/>
        <v>131250</v>
      </c>
      <c r="G12" s="2">
        <f t="shared" si="0"/>
        <v>131250</v>
      </c>
      <c r="H12" s="2">
        <f t="shared" si="1"/>
        <v>0</v>
      </c>
      <c r="I12" s="10">
        <f t="shared" si="2"/>
        <v>-56250</v>
      </c>
      <c r="J12" s="2">
        <f t="shared" si="3"/>
        <v>1</v>
      </c>
      <c r="K12" s="2">
        <f t="shared" si="4"/>
        <v>0.7</v>
      </c>
    </row>
    <row r="13" spans="1:11" x14ac:dyDescent="0.3">
      <c r="A13" s="4">
        <v>12</v>
      </c>
      <c r="B13" s="4" t="s">
        <v>24</v>
      </c>
      <c r="C13" s="7">
        <v>70000</v>
      </c>
      <c r="D13" s="4">
        <v>100</v>
      </c>
      <c r="E13" s="7">
        <v>70000</v>
      </c>
      <c r="F13" s="2">
        <f t="shared" si="0"/>
        <v>70000</v>
      </c>
      <c r="G13" s="2">
        <f t="shared" si="0"/>
        <v>70000</v>
      </c>
      <c r="H13" s="2">
        <f t="shared" si="1"/>
        <v>0</v>
      </c>
      <c r="I13" s="10">
        <f t="shared" si="2"/>
        <v>0</v>
      </c>
      <c r="J13" s="2">
        <f t="shared" si="3"/>
        <v>1</v>
      </c>
      <c r="K13" s="2">
        <f t="shared" si="4"/>
        <v>1</v>
      </c>
    </row>
    <row r="14" spans="1:11" x14ac:dyDescent="0.3">
      <c r="A14" s="4">
        <v>13</v>
      </c>
      <c r="B14" s="4" t="s">
        <v>25</v>
      </c>
      <c r="C14" s="7">
        <v>55000</v>
      </c>
      <c r="D14" s="4">
        <v>50</v>
      </c>
      <c r="E14" s="7">
        <v>55000</v>
      </c>
      <c r="F14" s="2">
        <f t="shared" si="0"/>
        <v>27500</v>
      </c>
      <c r="G14" s="2">
        <f t="shared" si="0"/>
        <v>27500</v>
      </c>
      <c r="H14" s="2">
        <f t="shared" si="1"/>
        <v>0</v>
      </c>
      <c r="I14" s="10">
        <f t="shared" si="2"/>
        <v>-27500</v>
      </c>
      <c r="J14" s="2">
        <f t="shared" si="3"/>
        <v>1</v>
      </c>
      <c r="K14" s="2">
        <f t="shared" si="4"/>
        <v>0.5</v>
      </c>
    </row>
    <row r="15" spans="1:11" x14ac:dyDescent="0.3">
      <c r="A15" s="4">
        <v>14</v>
      </c>
      <c r="B15" s="4" t="s">
        <v>26</v>
      </c>
      <c r="C15" s="7">
        <v>62500</v>
      </c>
      <c r="D15" s="4">
        <v>60</v>
      </c>
      <c r="E15" s="7">
        <v>62500</v>
      </c>
      <c r="F15" s="2">
        <f t="shared" si="0"/>
        <v>37500</v>
      </c>
      <c r="G15" s="2">
        <f t="shared" si="0"/>
        <v>37500</v>
      </c>
      <c r="H15" s="2">
        <f t="shared" si="1"/>
        <v>0</v>
      </c>
      <c r="I15" s="10">
        <f t="shared" si="2"/>
        <v>-25000</v>
      </c>
      <c r="J15" s="2">
        <f t="shared" si="3"/>
        <v>1</v>
      </c>
      <c r="K15" s="2">
        <f t="shared" si="4"/>
        <v>0.6</v>
      </c>
    </row>
    <row r="16" spans="1:11" x14ac:dyDescent="0.3">
      <c r="A16" s="4">
        <v>15</v>
      </c>
      <c r="B16" s="4" t="s">
        <v>27</v>
      </c>
      <c r="C16" s="7">
        <v>22500</v>
      </c>
      <c r="D16" s="4">
        <v>50</v>
      </c>
      <c r="E16" s="7">
        <v>22500</v>
      </c>
      <c r="F16" s="2">
        <f t="shared" si="0"/>
        <v>11250</v>
      </c>
      <c r="G16" s="2">
        <f t="shared" si="0"/>
        <v>11250</v>
      </c>
      <c r="H16" s="2">
        <f t="shared" si="1"/>
        <v>0</v>
      </c>
      <c r="I16" s="10">
        <f t="shared" si="2"/>
        <v>-11250</v>
      </c>
      <c r="J16" s="2">
        <f t="shared" si="3"/>
        <v>1</v>
      </c>
      <c r="K16" s="2">
        <f t="shared" si="4"/>
        <v>0.5</v>
      </c>
    </row>
    <row r="17" spans="1:11" x14ac:dyDescent="0.3">
      <c r="A17" s="4">
        <v>16</v>
      </c>
      <c r="B17" s="4" t="s">
        <v>28</v>
      </c>
      <c r="C17" s="7">
        <v>20000</v>
      </c>
      <c r="D17" s="4">
        <v>50</v>
      </c>
      <c r="E17" s="7">
        <v>20000</v>
      </c>
      <c r="F17" s="2">
        <f t="shared" si="0"/>
        <v>10000</v>
      </c>
      <c r="G17" s="2">
        <f t="shared" si="0"/>
        <v>10000</v>
      </c>
      <c r="H17" s="2">
        <f t="shared" si="1"/>
        <v>0</v>
      </c>
      <c r="I17" s="10">
        <f t="shared" si="2"/>
        <v>-10000</v>
      </c>
      <c r="J17" s="2">
        <f t="shared" si="3"/>
        <v>1</v>
      </c>
      <c r="K17" s="2">
        <f t="shared" si="4"/>
        <v>0.5</v>
      </c>
    </row>
    <row r="18" spans="1:11" x14ac:dyDescent="0.3">
      <c r="A18" s="4">
        <v>17</v>
      </c>
      <c r="B18" s="4" t="s">
        <v>29</v>
      </c>
      <c r="C18" s="7">
        <v>15000</v>
      </c>
      <c r="D18" s="4">
        <v>100</v>
      </c>
      <c r="E18" s="7">
        <v>15000</v>
      </c>
      <c r="F18" s="2">
        <f t="shared" si="0"/>
        <v>15000</v>
      </c>
      <c r="G18" s="2">
        <f t="shared" si="0"/>
        <v>15000</v>
      </c>
      <c r="H18" s="2">
        <f>F18-G18</f>
        <v>0</v>
      </c>
      <c r="I18" s="10">
        <f t="shared" si="2"/>
        <v>0</v>
      </c>
      <c r="J18" s="2">
        <f t="shared" si="3"/>
        <v>1</v>
      </c>
      <c r="K18" s="2">
        <f t="shared" si="4"/>
        <v>1</v>
      </c>
    </row>
    <row r="19" spans="1:11" x14ac:dyDescent="0.3">
      <c r="C19" s="8">
        <f>SUM(C2:C18)</f>
        <v>1310000</v>
      </c>
      <c r="E19" s="8">
        <f>SUM(E2:E18)</f>
        <v>1310000</v>
      </c>
      <c r="F19" s="2">
        <f>SUM(F2:F18)</f>
        <v>1010300</v>
      </c>
      <c r="G19" s="2">
        <f>SUM(G2:G18)</f>
        <v>1010300</v>
      </c>
      <c r="H19" s="2">
        <f>F19-G19</f>
        <v>0</v>
      </c>
      <c r="I19" s="8">
        <f>F19-E19</f>
        <v>-299700</v>
      </c>
      <c r="J19" s="2">
        <f>F19/G19</f>
        <v>1</v>
      </c>
      <c r="K19" s="2">
        <f>F19/E19</f>
        <v>0.77122137404580149</v>
      </c>
    </row>
    <row r="22" spans="1:11" x14ac:dyDescent="0.3">
      <c r="E22" s="3"/>
    </row>
    <row r="24" spans="1:11" x14ac:dyDescent="0.3">
      <c r="A24" t="s">
        <v>11</v>
      </c>
      <c r="B24" s="1" t="s">
        <v>36</v>
      </c>
      <c r="C24" s="11">
        <v>1310000</v>
      </c>
    </row>
    <row r="25" spans="1:11" x14ac:dyDescent="0.3">
      <c r="A25" t="s">
        <v>12</v>
      </c>
      <c r="B25" s="1" t="s">
        <v>37</v>
      </c>
      <c r="C25" s="11">
        <v>1310000</v>
      </c>
    </row>
    <row r="26" spans="1:11" x14ac:dyDescent="0.3">
      <c r="A26" t="s">
        <v>5</v>
      </c>
      <c r="B26" s="1" t="s">
        <v>38</v>
      </c>
      <c r="C26" s="11">
        <v>1010300</v>
      </c>
    </row>
    <row r="27" spans="1:11" x14ac:dyDescent="0.3">
      <c r="A27" t="s">
        <v>6</v>
      </c>
      <c r="B27" s="1" t="s">
        <v>39</v>
      </c>
      <c r="C27" s="11">
        <v>1010300</v>
      </c>
    </row>
    <row r="28" spans="1:11" x14ac:dyDescent="0.3">
      <c r="A28" t="s">
        <v>7</v>
      </c>
      <c r="B28" s="1" t="s">
        <v>40</v>
      </c>
      <c r="C28" s="11">
        <v>0</v>
      </c>
    </row>
    <row r="29" spans="1:11" x14ac:dyDescent="0.3">
      <c r="A29" t="s">
        <v>8</v>
      </c>
      <c r="B29" s="1" t="s">
        <v>41</v>
      </c>
      <c r="C29" s="11">
        <v>-299700</v>
      </c>
    </row>
    <row r="30" spans="1:11" x14ac:dyDescent="0.3">
      <c r="A30" t="s">
        <v>9</v>
      </c>
      <c r="B30" s="1" t="s">
        <v>42</v>
      </c>
      <c r="C30" s="12" t="s">
        <v>33</v>
      </c>
    </row>
    <row r="31" spans="1:11" x14ac:dyDescent="0.3">
      <c r="A31" t="s">
        <v>10</v>
      </c>
      <c r="B31" s="1" t="s">
        <v>43</v>
      </c>
      <c r="C31" s="4" t="s">
        <v>34</v>
      </c>
    </row>
    <row r="32" spans="1:11" x14ac:dyDescent="0.3">
      <c r="A32" t="s">
        <v>30</v>
      </c>
      <c r="B32" s="1" t="s">
        <v>44</v>
      </c>
      <c r="C32" s="4" t="s">
        <v>35</v>
      </c>
    </row>
    <row r="33" spans="1:3" x14ac:dyDescent="0.3">
      <c r="A33" t="s">
        <v>31</v>
      </c>
      <c r="B33" s="1" t="s">
        <v>45</v>
      </c>
      <c r="C33" s="11">
        <v>299700</v>
      </c>
    </row>
    <row r="34" spans="1:3" x14ac:dyDescent="0.3">
      <c r="A34" t="s">
        <v>32</v>
      </c>
      <c r="B34" s="1" t="s">
        <v>46</v>
      </c>
      <c r="C3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</dc:creator>
  <cp:lastModifiedBy>Артём</cp:lastModifiedBy>
  <dcterms:created xsi:type="dcterms:W3CDTF">2015-06-05T18:19:34Z</dcterms:created>
  <dcterms:modified xsi:type="dcterms:W3CDTF">2026-06-03T10:46:17Z</dcterms:modified>
</cp:coreProperties>
</file>