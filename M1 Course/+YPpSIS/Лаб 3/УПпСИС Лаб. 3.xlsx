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emo\Documents\Магистратура\Лабораторные\1 курс\УПпСИС\Финал\Лаб. 3\"/>
    </mc:Choice>
  </mc:AlternateContent>
  <xr:revisionPtr revIDLastSave="0" documentId="13_ncr:1_{2F06A826-689D-4552-8F1B-CE52851BB7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/>
  <c r="C14" i="1" s="1"/>
  <c r="D10" i="1"/>
  <c r="D14" i="1" s="1"/>
  <c r="I9" i="1"/>
  <c r="H9" i="1"/>
  <c r="E9" i="1"/>
  <c r="I8" i="1"/>
  <c r="H8" i="1"/>
  <c r="E8" i="1"/>
  <c r="I7" i="1"/>
  <c r="H7" i="1"/>
  <c r="E7" i="1"/>
  <c r="I6" i="1"/>
  <c r="H6" i="1"/>
  <c r="E6" i="1"/>
  <c r="I5" i="1"/>
  <c r="H5" i="1"/>
  <c r="E5" i="1"/>
  <c r="I4" i="1"/>
  <c r="I10" i="1" s="1"/>
  <c r="B14" i="1" s="1"/>
  <c r="H4" i="1"/>
  <c r="E4" i="1"/>
  <c r="I3" i="1"/>
  <c r="H3" i="1"/>
  <c r="H10" i="1" s="1"/>
  <c r="A14" i="1" s="1"/>
  <c r="H14" i="1" s="1"/>
  <c r="E3" i="1"/>
  <c r="I2" i="1"/>
  <c r="H2" i="1"/>
  <c r="E2" i="1"/>
  <c r="F14" i="1" l="1"/>
  <c r="E14" i="1"/>
  <c r="G14" i="1"/>
  <c r="B17" i="1" l="1"/>
  <c r="B18" i="1" s="1"/>
  <c r="B16" i="1"/>
</calcChain>
</file>

<file path=xl/sharedStrings.xml><?xml version="1.0" encoding="utf-8"?>
<sst xmlns="http://schemas.openxmlformats.org/spreadsheetml/2006/main" count="46" uniqueCount="38">
  <si>
    <t>Работа</t>
  </si>
  <si>
    <t>Дата начала</t>
  </si>
  <si>
    <t>Дата конца</t>
  </si>
  <si>
    <t>Плановая стоимость, тыс.руб</t>
  </si>
  <si>
    <t>Сумма нараст. итогом</t>
  </si>
  <si>
    <t>Процент выполнения,%</t>
  </si>
  <si>
    <t>Фактическая сумма AC</t>
  </si>
  <si>
    <t>PV</t>
  </si>
  <si>
    <t>EV</t>
  </si>
  <si>
    <t>10.10.2026</t>
  </si>
  <si>
    <t>Управление проектом</t>
  </si>
  <si>
    <t>01.09.2026</t>
  </si>
  <si>
    <t>07.01.2027</t>
  </si>
  <si>
    <t>Анализ и обследование</t>
  </si>
  <si>
    <t>14.09.2026</t>
  </si>
  <si>
    <t>ТЗ утверждено</t>
  </si>
  <si>
    <t>Проектирование</t>
  </si>
  <si>
    <t>15.09.2026</t>
  </si>
  <si>
    <t>28.09.2026</t>
  </si>
  <si>
    <t>Разработка и интеграция</t>
  </si>
  <si>
    <t>29.09.2026</t>
  </si>
  <si>
    <t>10.12.2026</t>
  </si>
  <si>
    <t>Тестирование и внедрение</t>
  </si>
  <si>
    <t>21.01.2027</t>
  </si>
  <si>
    <t>Буферная работа</t>
  </si>
  <si>
    <t>22.01.2027</t>
  </si>
  <si>
    <t>02.02.2027</t>
  </si>
  <si>
    <t>Пилот завершен</t>
  </si>
  <si>
    <t>Итого</t>
  </si>
  <si>
    <t>AC</t>
  </si>
  <si>
    <t>BAC</t>
  </si>
  <si>
    <t>CV</t>
  </si>
  <si>
    <t>SV</t>
  </si>
  <si>
    <t>CPI</t>
  </si>
  <si>
    <t>SPI</t>
  </si>
  <si>
    <t>ETC</t>
  </si>
  <si>
    <t>EAC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</si>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</sst>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5" x14ac:knownFonts="1">
    <font>
      <sz val="11"/>
      <name val="Carlito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1" applyFont="1"/>
    <xf numFmtId="0" fontId="1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 wrapText="1"/>
    </xf>
    <xf numFmtId="49" fontId="1" fillId="0" borderId="0" xfId="1" applyNumberFormat="1" applyFont="1"/>
    <xf numFmtId="164" fontId="1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" fontId="1" fillId="0" borderId="1" xfId="1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165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1" sqref="D1"/>
    </sheetView>
  </sheetViews>
  <sheetFormatPr defaultRowHeight="15" x14ac:dyDescent="0.25"/>
  <cols>
    <col min="1" max="1" width="21.25" customWidth="1"/>
    <col min="2" max="3" width="11.875" customWidth="1"/>
    <col min="4" max="4" width="17.75" bestFit="1" customWidth="1"/>
    <col min="5" max="5" width="18.5" bestFit="1" customWidth="1"/>
    <col min="6" max="6" width="20.25" bestFit="1" customWidth="1"/>
    <col min="7" max="7" width="19" bestFit="1" customWidth="1"/>
    <col min="8" max="9" width="9.375" customWidth="1"/>
    <col min="10" max="10" width="12.5" customWidth="1"/>
  </cols>
  <sheetData>
    <row r="1" spans="1:10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</row>
    <row r="2" spans="1:10" ht="22.5" customHeight="1" x14ac:dyDescent="0.25">
      <c r="A2" s="2" t="s">
        <v>10</v>
      </c>
      <c r="B2" s="5" t="s">
        <v>11</v>
      </c>
      <c r="C2" s="5" t="s">
        <v>12</v>
      </c>
      <c r="D2" s="7">
        <v>1500</v>
      </c>
      <c r="E2" s="7">
        <f>SUM($D$2:D2)</f>
        <v>1500</v>
      </c>
      <c r="F2" s="9">
        <v>35</v>
      </c>
      <c r="G2" s="7">
        <v>560</v>
      </c>
      <c r="H2" s="10">
        <f>IF(D2=0,0,IF(DATE(2026,10,10)&lt;DATE(2026,9,1),0,IF(DATE(2026,10,10)&gt;=DATE(2027,1,7),D2,IF(DATE(2027,1,7)=DATE(2026,9,1),0,D2*((DATE(2026,10,10)-DATE(2026,9,1))/(DATE(2027,1,7)-DATE(2026,9,1)))))))</f>
        <v>457.03125</v>
      </c>
      <c r="I2" s="10">
        <f t="shared" ref="I2:I9" si="0">D2*F2/100</f>
        <v>525</v>
      </c>
      <c r="J2" s="1"/>
    </row>
    <row r="3" spans="1:10" ht="22.5" customHeight="1" x14ac:dyDescent="0.25">
      <c r="A3" s="2" t="s">
        <v>13</v>
      </c>
      <c r="B3" s="5" t="s">
        <v>11</v>
      </c>
      <c r="C3" s="5" t="s">
        <v>14</v>
      </c>
      <c r="D3" s="7">
        <v>900</v>
      </c>
      <c r="E3" s="7">
        <f>SUM($D$2:D3)</f>
        <v>2400</v>
      </c>
      <c r="F3" s="9">
        <v>100</v>
      </c>
      <c r="G3" s="7">
        <v>930</v>
      </c>
      <c r="H3" s="10">
        <f>IF(D3=0,0,IF(DATE(2026,10,10)&lt;DATE(2026,9,1),0,IF(DATE(2026,10,10)&gt;=DATE(2026,9,14),D3,IF(DATE(2026,9,14)=DATE(2026,9,1),0,D3*((DATE(2026,10,10)-DATE(2026,9,1))/(DATE(2026,9,14)-DATE(2026,9,1)))))))</f>
        <v>900</v>
      </c>
      <c r="I3" s="10">
        <f t="shared" si="0"/>
        <v>900</v>
      </c>
      <c r="J3" s="1"/>
    </row>
    <row r="4" spans="1:10" ht="22.5" customHeight="1" x14ac:dyDescent="0.25">
      <c r="A4" s="2" t="s">
        <v>15</v>
      </c>
      <c r="B4" s="5" t="s">
        <v>14</v>
      </c>
      <c r="C4" s="5" t="s">
        <v>14</v>
      </c>
      <c r="D4" s="7">
        <v>0</v>
      </c>
      <c r="E4" s="7">
        <f>SUM($D$2:D4)</f>
        <v>2400</v>
      </c>
      <c r="F4" s="9">
        <v>100</v>
      </c>
      <c r="G4" s="7">
        <v>0</v>
      </c>
      <c r="H4" s="10">
        <f>IF(D4=0,0,IF(DATE(2026,10,10)&lt;DATE(2026,9,14),0,IF(DATE(2026,10,10)&gt;=DATE(2026,9,14),D4,IF(DATE(2026,9,14)=DATE(2026,9,14),0,D4*((DATE(2026,10,10)-DATE(2026,9,14))/(DATE(2026,9,14)-DATE(2026,9,14)))))))</f>
        <v>0</v>
      </c>
      <c r="I4" s="10">
        <f t="shared" si="0"/>
        <v>0</v>
      </c>
      <c r="J4" s="1"/>
    </row>
    <row r="5" spans="1:10" ht="22.5" customHeight="1" x14ac:dyDescent="0.25">
      <c r="A5" s="2" t="s">
        <v>16</v>
      </c>
      <c r="B5" s="5" t="s">
        <v>17</v>
      </c>
      <c r="C5" s="5" t="s">
        <v>18</v>
      </c>
      <c r="D5" s="7">
        <v>1300</v>
      </c>
      <c r="E5" s="7">
        <f>SUM($D$2:D5)</f>
        <v>3700</v>
      </c>
      <c r="F5" s="9">
        <v>50</v>
      </c>
      <c r="G5" s="7">
        <v>720</v>
      </c>
      <c r="H5" s="10">
        <f>IF(D5=0,0,IF(DATE(2026,10,10)&lt;DATE(2026,9,15),0,IF(DATE(2026,10,10)&gt;=DATE(2026,9,28),D5,IF(DATE(2026,9,28)=DATE(2026,9,15),0,D5*((DATE(2026,10,10)-DATE(2026,9,15))/(DATE(2026,9,28)-DATE(2026,9,15)))))))</f>
        <v>1300</v>
      </c>
      <c r="I5" s="10">
        <f t="shared" si="0"/>
        <v>650</v>
      </c>
      <c r="J5" s="1"/>
    </row>
    <row r="6" spans="1:10" ht="22.5" customHeight="1" x14ac:dyDescent="0.25">
      <c r="A6" s="2" t="s">
        <v>19</v>
      </c>
      <c r="B6" s="5" t="s">
        <v>20</v>
      </c>
      <c r="C6" s="5" t="s">
        <v>21</v>
      </c>
      <c r="D6" s="7">
        <v>5700</v>
      </c>
      <c r="E6" s="7">
        <f>SUM($D$2:D6)</f>
        <v>9400</v>
      </c>
      <c r="F6" s="9">
        <v>25</v>
      </c>
      <c r="G6" s="7">
        <v>1500</v>
      </c>
      <c r="H6" s="10">
        <f>IF(D6=0,0,IF(DATE(2026,10,10)&lt;DATE(2026,9,29),0,IF(DATE(2026,10,10)&gt;=DATE(2026,12,10),D6,IF(DATE(2026,12,10)=DATE(2026,9,29),0,D6*((DATE(2026,10,10)-DATE(2026,9,29))/(DATE(2026,12,10)-DATE(2026,9,29)))))))</f>
        <v>870.83333333333337</v>
      </c>
      <c r="I6" s="10">
        <f t="shared" si="0"/>
        <v>1425</v>
      </c>
      <c r="J6" s="1"/>
    </row>
    <row r="7" spans="1:10" ht="22.5" customHeight="1" x14ac:dyDescent="0.25">
      <c r="A7" s="2" t="s">
        <v>22</v>
      </c>
      <c r="B7" s="5" t="s">
        <v>20</v>
      </c>
      <c r="C7" s="5" t="s">
        <v>23</v>
      </c>
      <c r="D7" s="7">
        <v>2200</v>
      </c>
      <c r="E7" s="7">
        <f>SUM($D$2:D7)</f>
        <v>11600</v>
      </c>
      <c r="F7" s="9">
        <v>12</v>
      </c>
      <c r="G7" s="7">
        <v>280</v>
      </c>
      <c r="H7" s="10">
        <f>IF(D7=0,0,IF(DATE(2026,10,10)&lt;DATE(2026,9,29),0,IF(DATE(2026,10,10)&gt;=DATE(2027,1,21),D7,IF(DATE(2027,1,21)=DATE(2026,9,29),0,D7*((DATE(2026,10,10)-DATE(2026,9,29))/(DATE(2027,1,21)-DATE(2026,9,29)))))))</f>
        <v>212.28070175438594</v>
      </c>
      <c r="I7" s="10">
        <f t="shared" si="0"/>
        <v>264</v>
      </c>
      <c r="J7" s="1"/>
    </row>
    <row r="8" spans="1:10" ht="22.5" customHeight="1" x14ac:dyDescent="0.25">
      <c r="A8" s="2" t="s">
        <v>24</v>
      </c>
      <c r="B8" s="5" t="s">
        <v>25</v>
      </c>
      <c r="C8" s="5" t="s">
        <v>26</v>
      </c>
      <c r="D8" s="7">
        <v>400</v>
      </c>
      <c r="E8" s="7">
        <f>SUM($D$2:D8)</f>
        <v>12000</v>
      </c>
      <c r="F8" s="9">
        <v>50</v>
      </c>
      <c r="G8" s="7">
        <v>250</v>
      </c>
      <c r="H8" s="10">
        <f>IF(D8=0,0,IF(DATE(2026,10,10)&lt;DATE(2027,1,22),0,IF(DATE(2026,10,10)&gt;=DATE(2027,2,2),D8,IF(DATE(2027,2,2)=DATE(2027,1,22),0,D8*((DATE(2026,10,10)-DATE(2027,1,22))/(DATE(2027,2,2)-DATE(2027,1,22)))))))</f>
        <v>0</v>
      </c>
      <c r="I8" s="10">
        <f t="shared" si="0"/>
        <v>200</v>
      </c>
      <c r="J8" s="1"/>
    </row>
    <row r="9" spans="1:10" ht="22.5" customHeight="1" x14ac:dyDescent="0.25">
      <c r="A9" s="2" t="s">
        <v>27</v>
      </c>
      <c r="B9" s="5" t="s">
        <v>26</v>
      </c>
      <c r="C9" s="5" t="s">
        <v>26</v>
      </c>
      <c r="D9" s="7">
        <v>0</v>
      </c>
      <c r="E9" s="7">
        <f>SUM($D$2:D9)</f>
        <v>12000</v>
      </c>
      <c r="F9" s="9">
        <v>0</v>
      </c>
      <c r="G9" s="7">
        <v>0</v>
      </c>
      <c r="H9" s="10">
        <f>IF(D9=0,0,IF(DATE(2026,10,10)&lt;DATE(2027,2,2),0,IF(DATE(2026,10,10)&gt;=DATE(2027,2,2),D9,IF(DATE(2027,2,2)=DATE(2027,2,2),0,D9*((DATE(2026,10,10)-DATE(2027,2,2))/(DATE(2027,2,2)-DATE(2027,2,2)))))))</f>
        <v>0</v>
      </c>
      <c r="I9" s="10">
        <f t="shared" si="0"/>
        <v>0</v>
      </c>
      <c r="J9" s="1"/>
    </row>
    <row r="10" spans="1:10" ht="18" customHeight="1" x14ac:dyDescent="0.25">
      <c r="A10" s="4" t="s">
        <v>28</v>
      </c>
      <c r="B10" s="4"/>
      <c r="C10" s="4"/>
      <c r="D10" s="8">
        <f>SUM(D2:D9)</f>
        <v>12000</v>
      </c>
      <c r="E10" s="8"/>
      <c r="F10" s="4"/>
      <c r="G10" s="8">
        <f>SUM(G2:G9)</f>
        <v>4240</v>
      </c>
      <c r="H10" s="11">
        <f>SUM(H2:H9)</f>
        <v>3740.1452850877195</v>
      </c>
      <c r="I10" s="11">
        <f>SUM(I2:I9)</f>
        <v>3964</v>
      </c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25">
      <c r="A13" s="12" t="s">
        <v>7</v>
      </c>
      <c r="B13" s="12" t="s">
        <v>8</v>
      </c>
      <c r="C13" s="12" t="s">
        <v>29</v>
      </c>
      <c r="D13" s="12" t="s">
        <v>30</v>
      </c>
      <c r="E13" s="12" t="s">
        <v>31</v>
      </c>
      <c r="F13" s="12" t="s">
        <v>32</v>
      </c>
      <c r="G13" s="12" t="s">
        <v>33</v>
      </c>
      <c r="H13" s="12" t="s">
        <v>34</v>
      </c>
      <c r="I13" s="1"/>
      <c r="J13" s="1"/>
    </row>
    <row r="14" spans="1:10" ht="18" customHeight="1" x14ac:dyDescent="0.25">
      <c r="A14" s="13">
        <f>H10</f>
        <v>3740.1452850877195</v>
      </c>
      <c r="B14" s="13">
        <f>I10</f>
        <v>3964</v>
      </c>
      <c r="C14" s="13">
        <f>G10</f>
        <v>4240</v>
      </c>
      <c r="D14" s="13">
        <f>D10</f>
        <v>12000</v>
      </c>
      <c r="E14" s="13">
        <f>B14-C14</f>
        <v>-276</v>
      </c>
      <c r="F14" s="13">
        <f>B14-A14</f>
        <v>223.85471491228054</v>
      </c>
      <c r="G14" s="14">
        <f>IF(C14=0,"",B14/C14)</f>
        <v>0.93490566037735845</v>
      </c>
      <c r="H14" s="14">
        <f>IF(A14=0,"",B14/A14)</f>
        <v>1.0598518768254293</v>
      </c>
      <c r="I14" s="1"/>
      <c r="J14" s="1"/>
    </row>
    <row r="15" spans="1:10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 x14ac:dyDescent="0.25">
      <c r="A16" s="15" t="s">
        <v>35</v>
      </c>
      <c r="B16" s="16">
        <f>IF(G14=0,"",D14/G14-C14)</f>
        <v>8595.5196770938455</v>
      </c>
      <c r="C16" s="1"/>
      <c r="D16" s="1"/>
      <c r="E16" s="1"/>
      <c r="F16" s="1"/>
      <c r="G16" s="1"/>
      <c r="H16" s="1"/>
      <c r="I16" s="1"/>
      <c r="J16" s="1"/>
    </row>
    <row r="17" spans="1:10" ht="18" customHeight="1" x14ac:dyDescent="0.25">
      <c r="A17" s="15" t="s">
        <v>36</v>
      </c>
      <c r="B17" s="16">
        <f>IF(G14=0,"",D14/G14)</f>
        <v>12835.519677093846</v>
      </c>
      <c r="C17" s="1"/>
      <c r="D17" s="1"/>
      <c r="E17" s="1"/>
      <c r="F17" s="1"/>
      <c r="G17" s="1"/>
      <c r="H17" s="1"/>
      <c r="I17" s="1"/>
      <c r="J17" s="1"/>
    </row>
    <row r="18" spans="1:10" ht="18" customHeight="1" x14ac:dyDescent="0.25">
      <c r="A18" s="15" t="s">
        <v>37</v>
      </c>
      <c r="B18" s="16">
        <f>D14-B17</f>
        <v>-835.51967709384553</v>
      </c>
      <c r="C18" s="1"/>
      <c r="D18" s="1"/>
      <c r="E18" s="1"/>
      <c r="F18" s="1"/>
      <c r="G18" s="1"/>
      <c r="H18" s="1"/>
      <c r="I18" s="1"/>
      <c r="J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Semyon Chemodanov</cp:lastModifiedBy>
  <dcterms:modified xsi:type="dcterms:W3CDTF">2026-06-14T15:49:17Z</dcterms:modified>
</cp:coreProperties>
</file>