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filterPrivacy="1" defaultThemeVersion="124226"/>
  <xr:revisionPtr revIDLastSave="0" documentId="13_ncr:1_{6D96E922-1747-4137-8048-EE299EF44A1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1 идея" sheetId="3" r:id="rId1"/>
    <sheet name="2 идея" sheetId="2" r:id="rId2"/>
    <sheet name="3" sheetId="1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4" i="3" l="1"/>
  <c r="E34" i="3"/>
  <c r="I22" i="3"/>
  <c r="I21" i="3"/>
  <c r="I20" i="3"/>
  <c r="I19" i="3"/>
  <c r="E15" i="3"/>
  <c r="F7" i="3"/>
  <c r="F13" i="3" s="1"/>
  <c r="G34" i="2"/>
  <c r="E34" i="2"/>
  <c r="I22" i="2"/>
  <c r="I21" i="2"/>
  <c r="I20" i="2"/>
  <c r="I19" i="2"/>
  <c r="E15" i="2"/>
  <c r="F7" i="2"/>
  <c r="F13" i="2" s="1"/>
  <c r="E29" i="3" l="1"/>
  <c r="G29" i="3"/>
  <c r="F29" i="3"/>
  <c r="F8" i="3"/>
  <c r="F10" i="3"/>
  <c r="F11" i="3"/>
  <c r="F12" i="3"/>
  <c r="E29" i="2"/>
  <c r="G29" i="2"/>
  <c r="F29" i="2"/>
  <c r="F8" i="2"/>
  <c r="F10" i="2"/>
  <c r="F11" i="2"/>
  <c r="F12" i="2"/>
  <c r="G34" i="1"/>
  <c r="E34" i="1"/>
  <c r="I20" i="1"/>
  <c r="I21" i="1"/>
  <c r="I22" i="1"/>
  <c r="I19" i="1"/>
  <c r="E15" i="1"/>
  <c r="F7" i="1"/>
  <c r="I29" i="3" l="1"/>
  <c r="G28" i="3"/>
  <c r="F28" i="3"/>
  <c r="E28" i="3"/>
  <c r="I28" i="3" s="1"/>
  <c r="G27" i="3"/>
  <c r="F27" i="3"/>
  <c r="E27" i="3"/>
  <c r="F15" i="3"/>
  <c r="G26" i="3"/>
  <c r="F26" i="3"/>
  <c r="E26" i="3"/>
  <c r="G28" i="2"/>
  <c r="F28" i="2"/>
  <c r="E28" i="2"/>
  <c r="G27" i="2"/>
  <c r="F27" i="2"/>
  <c r="E27" i="2"/>
  <c r="F15" i="2"/>
  <c r="G26" i="2"/>
  <c r="F26" i="2"/>
  <c r="E26" i="2"/>
  <c r="I29" i="2"/>
  <c r="F11" i="1"/>
  <c r="E27" i="1" s="1"/>
  <c r="F8" i="1"/>
  <c r="F10" i="1"/>
  <c r="F13" i="1"/>
  <c r="F12" i="1"/>
  <c r="I26" i="3" l="1"/>
  <c r="E31" i="3"/>
  <c r="E38" i="3" s="1"/>
  <c r="F31" i="3"/>
  <c r="F38" i="3" s="1"/>
  <c r="G31" i="3"/>
  <c r="G38" i="3" s="1"/>
  <c r="I27" i="3"/>
  <c r="F31" i="2"/>
  <c r="F38" i="2" s="1"/>
  <c r="I27" i="2"/>
  <c r="G31" i="2"/>
  <c r="G38" i="2" s="1"/>
  <c r="I28" i="2"/>
  <c r="I26" i="2"/>
  <c r="E31" i="2"/>
  <c r="E38" i="2" s="1"/>
  <c r="F27" i="1"/>
  <c r="G27" i="1"/>
  <c r="F26" i="1"/>
  <c r="E26" i="1"/>
  <c r="G26" i="1"/>
  <c r="E29" i="1"/>
  <c r="F29" i="1"/>
  <c r="G29" i="1"/>
  <c r="E28" i="1"/>
  <c r="F28" i="1"/>
  <c r="G28" i="1"/>
  <c r="F15" i="1"/>
  <c r="I38" i="3" l="1"/>
  <c r="D41" i="3" s="1"/>
  <c r="D43" i="3" s="1"/>
  <c r="I38" i="2"/>
  <c r="D41" i="2" s="1"/>
  <c r="D43" i="2" s="1"/>
  <c r="I27" i="1"/>
  <c r="G31" i="1"/>
  <c r="G38" i="1" s="1"/>
  <c r="F31" i="1"/>
  <c r="F38" i="1" s="1"/>
  <c r="I26" i="1"/>
  <c r="E31" i="1"/>
  <c r="E38" i="1" s="1"/>
  <c r="I28" i="1"/>
  <c r="I29" i="1"/>
  <c r="D42" i="3" l="1"/>
  <c r="D58" i="3" s="1"/>
  <c r="D42" i="2"/>
  <c r="D58" i="2" s="1"/>
  <c r="I38" i="1"/>
  <c r="D41" i="1" s="1"/>
  <c r="D42" i="1" s="1"/>
  <c r="D43" i="1" l="1"/>
  <c r="D58" i="1" s="1"/>
</calcChain>
</file>

<file path=xl/sharedStrings.xml><?xml version="1.0" encoding="utf-8"?>
<sst xmlns="http://schemas.openxmlformats.org/spreadsheetml/2006/main" count="204" uniqueCount="42">
  <si>
    <t>1. Определние трудоемкости</t>
  </si>
  <si>
    <t>Пессиместическая оценка</t>
  </si>
  <si>
    <t>чел/час</t>
  </si>
  <si>
    <t>Реалистичная оценка</t>
  </si>
  <si>
    <t>Оптимистическая оценка</t>
  </si>
  <si>
    <t>Анализ</t>
  </si>
  <si>
    <t>Проектирование</t>
  </si>
  <si>
    <t>Программирование</t>
  </si>
  <si>
    <t>Тестирование</t>
  </si>
  <si>
    <t>%</t>
  </si>
  <si>
    <t>3. Трудоемкость по специалистам</t>
  </si>
  <si>
    <t>аналитики</t>
  </si>
  <si>
    <t>программисты</t>
  </si>
  <si>
    <t>технические</t>
  </si>
  <si>
    <t>Трудоемкость по специалистам</t>
  </si>
  <si>
    <t>Итого</t>
  </si>
  <si>
    <t>4. Часовая ставка по специалистам, руб./час</t>
  </si>
  <si>
    <t>ФОТ</t>
  </si>
  <si>
    <t>Накладные расходы</t>
  </si>
  <si>
    <t>руб/час</t>
  </si>
  <si>
    <t>5. Фонд оплаты труда, руб.</t>
  </si>
  <si>
    <t xml:space="preserve">процент накладных: </t>
  </si>
  <si>
    <t>6. Структура затрат на разработку проекта</t>
  </si>
  <si>
    <t>процент начислений</t>
  </si>
  <si>
    <t>Приобретение готовых компонентов, расходных материалов</t>
  </si>
  <si>
    <t>…..</t>
  </si>
  <si>
    <t>Командировочные расходы</t>
  </si>
  <si>
    <t>Оплата услуг сторонних организаций</t>
  </si>
  <si>
    <t>Затраты на обучение персонала</t>
  </si>
  <si>
    <t>Оплата коммунальных услуг</t>
  </si>
  <si>
    <t>Аммортизация</t>
  </si>
  <si>
    <t>Оплата услуг связи</t>
  </si>
  <si>
    <t>Аналитик/программист</t>
  </si>
  <si>
    <t>Программист</t>
  </si>
  <si>
    <t>Тех.спец./программист</t>
  </si>
  <si>
    <t>Соотношение ЗП специалист/программист</t>
  </si>
  <si>
    <t>Зеленые ячейки - рассчетные значения</t>
  </si>
  <si>
    <t xml:space="preserve">Красные ячейки - ввод информации. </t>
  </si>
  <si>
    <t>2. Трудоемкость по этапам ЖЦ</t>
  </si>
  <si>
    <t>Начисления на ФОТ</t>
  </si>
  <si>
    <t>Трудоемкость по методу PERT</t>
  </si>
  <si>
    <t>Срок проекта, чел/мес.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</si>
</sst>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i/>
      <sz val="11"/>
      <color theme="1"/>
      <name val="Calibri"/>
      <family val="2"/>
      <charset val="204"/>
      <scheme val="minor"/>
    </font>
    <font>
      <sz val="16"/>
      <color rgb="FFFF0000"/>
      <name val="Calibri"/>
      <family val="2"/>
      <scheme val="minor"/>
    </font>
    <font>
      <sz val="16"/>
      <color rgb="FF00B05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2" fontId="0" fillId="0" borderId="0" xfId="0" applyNumberFormat="1"/>
    <xf numFmtId="0" fontId="1" fillId="0" borderId="0" xfId="0" applyFont="1" applyAlignment="1">
      <alignment horizontal="center"/>
    </xf>
    <xf numFmtId="0" fontId="2" fillId="0" borderId="0" xfId="0" applyFont="1"/>
    <xf numFmtId="2" fontId="0" fillId="0" borderId="0" xfId="0" applyNumberFormat="1" applyAlignment="1"/>
    <xf numFmtId="0" fontId="0" fillId="3" borderId="0" xfId="0" applyFill="1" applyProtection="1">
      <protection locked="0"/>
    </xf>
    <xf numFmtId="2" fontId="1" fillId="4" borderId="0" xfId="0" applyNumberFormat="1" applyFont="1" applyFill="1"/>
    <xf numFmtId="2" fontId="0" fillId="4" borderId="0" xfId="0" applyNumberFormat="1" applyFill="1"/>
    <xf numFmtId="2" fontId="0" fillId="2" borderId="0" xfId="0" applyNumberFormat="1" applyFill="1" applyAlignment="1"/>
    <xf numFmtId="2" fontId="1" fillId="2" borderId="0" xfId="0" applyNumberFormat="1" applyFont="1" applyFill="1" applyAlignment="1"/>
    <xf numFmtId="2" fontId="0" fillId="2" borderId="0" xfId="0" applyNumberFormat="1" applyFill="1"/>
    <xf numFmtId="2" fontId="1" fillId="2" borderId="0" xfId="0" applyNumberFormat="1" applyFont="1" applyFill="1"/>
    <xf numFmtId="2" fontId="0" fillId="3" borderId="0" xfId="0" applyNumberFormat="1" applyFill="1" applyProtection="1">
      <protection locked="0"/>
    </xf>
    <xf numFmtId="0" fontId="1" fillId="2" borderId="0" xfId="0" applyFont="1" applyFill="1"/>
    <xf numFmtId="0" fontId="0" fillId="2" borderId="0" xfId="0" applyFill="1"/>
    <xf numFmtId="0" fontId="0" fillId="3" borderId="0" xfId="0" applyFill="1" applyAlignment="1" applyProtection="1">
      <alignment wrapText="1"/>
      <protection locked="0"/>
    </xf>
    <xf numFmtId="0" fontId="0" fillId="3" borderId="0" xfId="0" applyFill="1" applyAlignment="1" applyProtection="1">
      <protection locked="0"/>
    </xf>
    <xf numFmtId="0" fontId="3" fillId="0" borderId="0" xfId="0" applyFont="1"/>
    <xf numFmtId="0" fontId="4" fillId="0" borderId="0" xfId="0" applyFont="1"/>
    <xf numFmtId="0" fontId="1" fillId="0" borderId="0" xfId="0" applyFont="1" applyAlignment="1">
      <alignment horizontal="center"/>
    </xf>
    <xf numFmtId="0" fontId="0" fillId="3" borderId="0" xfId="0" applyFill="1" applyAlignment="1" applyProtection="1">
      <alignment wrapText="1"/>
      <protection locked="0"/>
    </xf>
    <xf numFmtId="0" fontId="0" fillId="3" borderId="0" xfId="0" applyFill="1" applyAlignment="1" applyProtection="1">
      <protection locked="0"/>
    </xf>
    <xf numFmtId="0" fontId="0" fillId="3" borderId="0" xfId="0" applyFill="1" applyAlignment="1" applyProtection="1">
      <alignment wrapText="1"/>
      <protection locked="0"/>
    </xf>
    <xf numFmtId="0" fontId="0" fillId="3" borderId="0" xfId="0" applyFill="1" applyAlignment="1" applyProtection="1">
      <protection locked="0"/>
    </xf>
    <xf numFmtId="0" fontId="1" fillId="0" borderId="0" xfId="0" applyFont="1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3" borderId="0" xfId="0" applyFill="1" applyAlignment="1" applyProtection="1">
      <alignment wrapText="1"/>
      <protection locked="0"/>
    </xf>
    <xf numFmtId="0" fontId="0" fillId="3" borderId="0" xfId="0" applyFill="1" applyAlignment="1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58"/>
  <sheetViews>
    <sheetView tabSelected="1" topLeftCell="A31" zoomScale="85" zoomScaleNormal="85" workbookViewId="0">
      <selection activeCell="F35" sqref="F35"/>
    </sheetView>
  </sheetViews>
  <sheetFormatPr defaultRowHeight="14.4" x14ac:dyDescent="0.3"/>
  <cols>
    <col min="3" max="3" width="23.88671875" customWidth="1"/>
    <col min="4" max="4" width="15.44140625" customWidth="1"/>
    <col min="5" max="5" width="13.6640625" customWidth="1"/>
    <col min="6" max="6" width="16.5546875" customWidth="1"/>
    <col min="7" max="7" width="15.6640625" customWidth="1"/>
    <col min="9" max="9" width="14.21875" customWidth="1"/>
    <col min="11" max="11" width="23.88671875" customWidth="1"/>
    <col min="12" max="12" width="22" customWidth="1"/>
    <col min="13" max="13" width="27.88671875" customWidth="1"/>
  </cols>
  <sheetData>
    <row r="1" spans="1:6" ht="49.5" customHeight="1" x14ac:dyDescent="0.4">
      <c r="A1" s="18" t="s">
        <v>37</v>
      </c>
      <c r="B1" s="18"/>
      <c r="C1" s="18"/>
      <c r="D1" s="18"/>
      <c r="E1" s="19" t="s">
        <v>36</v>
      </c>
      <c r="F1" s="18"/>
    </row>
    <row r="2" spans="1:6" x14ac:dyDescent="0.3">
      <c r="A2" s="1" t="s">
        <v>0</v>
      </c>
      <c r="F2" s="25" t="s">
        <v>2</v>
      </c>
    </row>
    <row r="3" spans="1:6" x14ac:dyDescent="0.3">
      <c r="B3" t="s">
        <v>4</v>
      </c>
      <c r="F3" s="6">
        <v>8000</v>
      </c>
    </row>
    <row r="4" spans="1:6" x14ac:dyDescent="0.3">
      <c r="B4" t="s">
        <v>3</v>
      </c>
      <c r="F4" s="6">
        <v>10500</v>
      </c>
    </row>
    <row r="5" spans="1:6" x14ac:dyDescent="0.3">
      <c r="B5" t="s">
        <v>1</v>
      </c>
      <c r="F5" s="6">
        <v>13500</v>
      </c>
    </row>
    <row r="7" spans="1:6" x14ac:dyDescent="0.3">
      <c r="B7" s="1" t="s">
        <v>40</v>
      </c>
      <c r="F7" s="7">
        <f>(F3+4*F4+F5)/6</f>
        <v>10583.333333333334</v>
      </c>
    </row>
    <row r="8" spans="1:6" x14ac:dyDescent="0.3">
      <c r="B8" s="1" t="s">
        <v>41</v>
      </c>
      <c r="F8" s="7">
        <f>F7/160</f>
        <v>66.145833333333343</v>
      </c>
    </row>
    <row r="9" spans="1:6" x14ac:dyDescent="0.3">
      <c r="A9" s="1" t="s">
        <v>38</v>
      </c>
      <c r="E9" s="25" t="s">
        <v>9</v>
      </c>
      <c r="F9" s="25" t="s">
        <v>2</v>
      </c>
    </row>
    <row r="10" spans="1:6" x14ac:dyDescent="0.3">
      <c r="B10" t="s">
        <v>5</v>
      </c>
      <c r="E10" s="6">
        <v>25</v>
      </c>
      <c r="F10" s="8">
        <f>$F$7*E10/100</f>
        <v>2645.8333333333339</v>
      </c>
    </row>
    <row r="11" spans="1:6" x14ac:dyDescent="0.3">
      <c r="B11" t="s">
        <v>6</v>
      </c>
      <c r="E11" s="6">
        <v>20</v>
      </c>
      <c r="F11" s="8">
        <f t="shared" ref="F11:F13" si="0">$F$7*E11/100</f>
        <v>2116.666666666667</v>
      </c>
    </row>
    <row r="12" spans="1:6" x14ac:dyDescent="0.3">
      <c r="B12" t="s">
        <v>7</v>
      </c>
      <c r="E12" s="6">
        <v>35</v>
      </c>
      <c r="F12" s="8">
        <f t="shared" si="0"/>
        <v>3704.166666666667</v>
      </c>
    </row>
    <row r="13" spans="1:6" x14ac:dyDescent="0.3">
      <c r="B13" t="s">
        <v>8</v>
      </c>
      <c r="E13" s="6">
        <v>20</v>
      </c>
      <c r="F13" s="8">
        <f t="shared" si="0"/>
        <v>2116.666666666667</v>
      </c>
    </row>
    <row r="14" spans="1:6" x14ac:dyDescent="0.3">
      <c r="F14" s="8"/>
    </row>
    <row r="15" spans="1:6" x14ac:dyDescent="0.3">
      <c r="B15" s="1" t="s">
        <v>15</v>
      </c>
      <c r="E15" s="1">
        <f>SUM(E10:E14)</f>
        <v>100</v>
      </c>
      <c r="F15" s="7">
        <f>SUM(F10:F14)</f>
        <v>10583.333333333336</v>
      </c>
    </row>
    <row r="17" spans="1:11" x14ac:dyDescent="0.3">
      <c r="A17" s="1" t="s">
        <v>10</v>
      </c>
      <c r="B17" s="1"/>
      <c r="C17" s="1"/>
      <c r="D17" s="1"/>
      <c r="E17" s="28" t="s">
        <v>9</v>
      </c>
      <c r="F17" s="29"/>
      <c r="G17" s="29"/>
    </row>
    <row r="18" spans="1:11" x14ac:dyDescent="0.3">
      <c r="E18" s="4" t="s">
        <v>11</v>
      </c>
      <c r="F18" s="4" t="s">
        <v>12</v>
      </c>
      <c r="G18" s="4" t="s">
        <v>13</v>
      </c>
      <c r="I18" s="4" t="s">
        <v>15</v>
      </c>
    </row>
    <row r="19" spans="1:11" x14ac:dyDescent="0.3">
      <c r="B19" t="s">
        <v>5</v>
      </c>
      <c r="E19" s="6">
        <v>70</v>
      </c>
      <c r="F19" s="6">
        <v>20</v>
      </c>
      <c r="G19" s="6">
        <v>10</v>
      </c>
      <c r="I19">
        <f>SUM(E19:H19)</f>
        <v>100</v>
      </c>
    </row>
    <row r="20" spans="1:11" x14ac:dyDescent="0.3">
      <c r="B20" t="s">
        <v>6</v>
      </c>
      <c r="E20" s="6">
        <v>40</v>
      </c>
      <c r="F20" s="6">
        <v>40</v>
      </c>
      <c r="G20" s="6">
        <v>20</v>
      </c>
      <c r="I20">
        <f t="shared" ref="I20:I22" si="1">SUM(E20:H20)</f>
        <v>100</v>
      </c>
    </row>
    <row r="21" spans="1:11" x14ac:dyDescent="0.3">
      <c r="B21" t="s">
        <v>7</v>
      </c>
      <c r="E21" s="6">
        <v>10</v>
      </c>
      <c r="F21" s="6">
        <v>80</v>
      </c>
      <c r="G21" s="6">
        <v>10</v>
      </c>
      <c r="I21">
        <f t="shared" si="1"/>
        <v>100</v>
      </c>
    </row>
    <row r="22" spans="1:11" x14ac:dyDescent="0.3">
      <c r="B22" t="s">
        <v>8</v>
      </c>
      <c r="E22" s="6">
        <v>15</v>
      </c>
      <c r="F22" s="6">
        <v>35</v>
      </c>
      <c r="G22" s="6">
        <v>50</v>
      </c>
      <c r="I22">
        <f t="shared" si="1"/>
        <v>100</v>
      </c>
    </row>
    <row r="24" spans="1:11" x14ac:dyDescent="0.3">
      <c r="A24" s="1" t="s">
        <v>14</v>
      </c>
      <c r="B24" s="1"/>
      <c r="C24" s="1"/>
      <c r="D24" s="1"/>
      <c r="E24" s="28" t="s">
        <v>2</v>
      </c>
      <c r="F24" s="29"/>
      <c r="G24" s="29"/>
    </row>
    <row r="25" spans="1:11" x14ac:dyDescent="0.3">
      <c r="E25" s="4" t="s">
        <v>11</v>
      </c>
      <c r="F25" s="4" t="s">
        <v>12</v>
      </c>
      <c r="G25" s="4" t="s">
        <v>13</v>
      </c>
      <c r="I25" s="4" t="s">
        <v>15</v>
      </c>
    </row>
    <row r="26" spans="1:11" x14ac:dyDescent="0.3">
      <c r="B26" t="s">
        <v>5</v>
      </c>
      <c r="E26" s="9">
        <f>$F10*E19/100</f>
        <v>1852.0833333333337</v>
      </c>
      <c r="F26" s="9">
        <f t="shared" ref="F26:G27" si="2">$F10*F19/100</f>
        <v>529.16666666666674</v>
      </c>
      <c r="G26" s="9">
        <f t="shared" si="2"/>
        <v>264.58333333333337</v>
      </c>
      <c r="I26" s="2">
        <f>SUM(E26:G26)</f>
        <v>2645.8333333333339</v>
      </c>
    </row>
    <row r="27" spans="1:11" x14ac:dyDescent="0.3">
      <c r="B27" t="s">
        <v>6</v>
      </c>
      <c r="E27" s="9">
        <f>$F11*E20/100</f>
        <v>846.66666666666686</v>
      </c>
      <c r="F27" s="9">
        <f t="shared" si="2"/>
        <v>846.66666666666686</v>
      </c>
      <c r="G27" s="9">
        <f t="shared" si="2"/>
        <v>423.33333333333343</v>
      </c>
      <c r="I27" s="2">
        <f t="shared" ref="I27:I29" si="3">SUM(E27:G27)</f>
        <v>2116.666666666667</v>
      </c>
    </row>
    <row r="28" spans="1:11" x14ac:dyDescent="0.3">
      <c r="B28" t="s">
        <v>7</v>
      </c>
      <c r="E28" s="9">
        <f t="shared" ref="E28:G29" si="4">$F12*E21/100</f>
        <v>370.41666666666674</v>
      </c>
      <c r="F28" s="9">
        <f t="shared" si="4"/>
        <v>2963.3333333333339</v>
      </c>
      <c r="G28" s="9">
        <f t="shared" si="4"/>
        <v>370.41666666666674</v>
      </c>
      <c r="I28" s="2">
        <f t="shared" si="3"/>
        <v>3704.1666666666679</v>
      </c>
    </row>
    <row r="29" spans="1:11" x14ac:dyDescent="0.3">
      <c r="B29" t="s">
        <v>8</v>
      </c>
      <c r="E29" s="9">
        <f t="shared" si="4"/>
        <v>317.50000000000006</v>
      </c>
      <c r="F29" s="9">
        <f t="shared" si="4"/>
        <v>740.83333333333348</v>
      </c>
      <c r="G29" s="9">
        <f t="shared" si="4"/>
        <v>1058.3333333333335</v>
      </c>
      <c r="I29" s="2">
        <f t="shared" si="3"/>
        <v>2116.666666666667</v>
      </c>
    </row>
    <row r="30" spans="1:11" x14ac:dyDescent="0.3">
      <c r="E30" s="5"/>
      <c r="F30" s="5"/>
      <c r="G30" s="5"/>
    </row>
    <row r="31" spans="1:11" x14ac:dyDescent="0.3">
      <c r="B31" s="1" t="s">
        <v>15</v>
      </c>
      <c r="C31" s="1"/>
      <c r="D31" s="1"/>
      <c r="E31" s="10">
        <f>SUM(E26:E30)</f>
        <v>3386.666666666667</v>
      </c>
      <c r="F31" s="10">
        <f t="shared" ref="F31:G31" si="5">SUM(F26:F30)</f>
        <v>5080.0000000000018</v>
      </c>
      <c r="G31" s="10">
        <f t="shared" si="5"/>
        <v>2116.666666666667</v>
      </c>
      <c r="K31" t="s">
        <v>35</v>
      </c>
    </row>
    <row r="33" spans="1:13" x14ac:dyDescent="0.3">
      <c r="A33" s="1" t="s">
        <v>16</v>
      </c>
      <c r="E33" s="4" t="s">
        <v>11</v>
      </c>
      <c r="F33" s="4" t="s">
        <v>12</v>
      </c>
      <c r="G33" s="4" t="s">
        <v>13</v>
      </c>
      <c r="K33" t="s">
        <v>32</v>
      </c>
      <c r="L33" t="s">
        <v>33</v>
      </c>
      <c r="M33" t="s">
        <v>34</v>
      </c>
    </row>
    <row r="34" spans="1:13" x14ac:dyDescent="0.3">
      <c r="A34" s="1"/>
      <c r="D34" t="s">
        <v>19</v>
      </c>
      <c r="E34" s="10">
        <f>F34*K34</f>
        <v>440.00000000000006</v>
      </c>
      <c r="F34" s="6">
        <v>400</v>
      </c>
      <c r="G34" s="10">
        <f>F34*M34</f>
        <v>340</v>
      </c>
      <c r="K34" s="6">
        <v>1.1000000000000001</v>
      </c>
      <c r="L34" s="6">
        <v>1</v>
      </c>
      <c r="M34" s="6">
        <v>0.85</v>
      </c>
    </row>
    <row r="37" spans="1:13" x14ac:dyDescent="0.3">
      <c r="A37" s="1" t="s">
        <v>20</v>
      </c>
      <c r="E37" s="4" t="s">
        <v>11</v>
      </c>
      <c r="F37" s="4" t="s">
        <v>12</v>
      </c>
      <c r="G37" s="4" t="s">
        <v>13</v>
      </c>
      <c r="I37" s="4" t="s">
        <v>15</v>
      </c>
    </row>
    <row r="38" spans="1:13" x14ac:dyDescent="0.3">
      <c r="E38" s="11">
        <f>E34*E31</f>
        <v>1490133.3333333337</v>
      </c>
      <c r="F38" s="11">
        <f t="shared" ref="F38:G38" si="6">F34*F31</f>
        <v>2032000.0000000007</v>
      </c>
      <c r="G38" s="11">
        <f t="shared" si="6"/>
        <v>719666.66666666674</v>
      </c>
      <c r="H38" s="11"/>
      <c r="I38" s="12">
        <f>SUM(E38:H38)</f>
        <v>4241800.0000000009</v>
      </c>
    </row>
    <row r="40" spans="1:13" x14ac:dyDescent="0.3">
      <c r="A40" s="1" t="s">
        <v>22</v>
      </c>
    </row>
    <row r="41" spans="1:13" x14ac:dyDescent="0.3">
      <c r="B41" s="26" t="s">
        <v>17</v>
      </c>
      <c r="C41" s="27"/>
      <c r="D41" s="11">
        <f>I38</f>
        <v>4241800.0000000009</v>
      </c>
    </row>
    <row r="42" spans="1:13" x14ac:dyDescent="0.3">
      <c r="B42" s="26" t="s">
        <v>39</v>
      </c>
      <c r="C42" s="27"/>
      <c r="D42" s="11">
        <f>D41*G42/100</f>
        <v>1272540.0000000002</v>
      </c>
      <c r="F42" t="s">
        <v>23</v>
      </c>
      <c r="G42" s="6">
        <v>30</v>
      </c>
    </row>
    <row r="43" spans="1:13" x14ac:dyDescent="0.3">
      <c r="B43" s="26" t="s">
        <v>18</v>
      </c>
      <c r="C43" s="27"/>
      <c r="D43" s="11">
        <f>D41*G43/100</f>
        <v>1060450.0000000002</v>
      </c>
      <c r="F43" t="s">
        <v>21</v>
      </c>
      <c r="G43" s="6">
        <v>25</v>
      </c>
    </row>
    <row r="44" spans="1:13" ht="47.25" customHeight="1" x14ac:dyDescent="0.3">
      <c r="B44" s="26" t="s">
        <v>24</v>
      </c>
      <c r="C44" s="27"/>
      <c r="D44" s="13">
        <v>1200000</v>
      </c>
    </row>
    <row r="45" spans="1:13" x14ac:dyDescent="0.3">
      <c r="B45" s="26" t="s">
        <v>26</v>
      </c>
      <c r="C45" s="27"/>
      <c r="D45" s="13"/>
    </row>
    <row r="46" spans="1:13" ht="35.25" customHeight="1" x14ac:dyDescent="0.3">
      <c r="B46" s="26" t="s">
        <v>27</v>
      </c>
      <c r="C46" s="27"/>
      <c r="D46" s="13">
        <v>900000</v>
      </c>
    </row>
    <row r="47" spans="1:13" ht="17.25" customHeight="1" x14ac:dyDescent="0.3">
      <c r="B47" s="26" t="s">
        <v>28</v>
      </c>
      <c r="C47" s="27"/>
      <c r="D47" s="13"/>
    </row>
    <row r="48" spans="1:13" ht="19.5" customHeight="1" x14ac:dyDescent="0.3">
      <c r="B48" s="26" t="s">
        <v>29</v>
      </c>
      <c r="C48" s="27"/>
      <c r="D48" s="13"/>
    </row>
    <row r="49" spans="2:4" ht="15.75" customHeight="1" x14ac:dyDescent="0.3">
      <c r="B49" s="26" t="s">
        <v>31</v>
      </c>
      <c r="C49" s="27"/>
      <c r="D49" s="13">
        <v>240000</v>
      </c>
    </row>
    <row r="50" spans="2:4" ht="21.75" customHeight="1" x14ac:dyDescent="0.3">
      <c r="B50" s="26" t="s">
        <v>30</v>
      </c>
      <c r="C50" s="27"/>
      <c r="D50" s="13"/>
    </row>
    <row r="51" spans="2:4" ht="15.75" customHeight="1" x14ac:dyDescent="0.3">
      <c r="B51" s="26"/>
      <c r="C51" s="27"/>
      <c r="D51" s="13"/>
    </row>
    <row r="52" spans="2:4" x14ac:dyDescent="0.3">
      <c r="B52" s="26"/>
      <c r="C52" s="27"/>
      <c r="D52" s="13"/>
    </row>
    <row r="53" spans="2:4" x14ac:dyDescent="0.3">
      <c r="B53" s="30" t="s">
        <v>25</v>
      </c>
      <c r="C53" s="31"/>
      <c r="D53" s="13"/>
    </row>
    <row r="54" spans="2:4" x14ac:dyDescent="0.3">
      <c r="B54" s="23"/>
      <c r="C54" s="24"/>
      <c r="D54" s="13"/>
    </row>
    <row r="55" spans="2:4" x14ac:dyDescent="0.3">
      <c r="B55" s="23"/>
      <c r="C55" s="24"/>
      <c r="D55" s="13"/>
    </row>
    <row r="56" spans="2:4" x14ac:dyDescent="0.3">
      <c r="B56" s="23"/>
      <c r="C56" s="24"/>
      <c r="D56" s="13"/>
    </row>
    <row r="57" spans="2:4" x14ac:dyDescent="0.3">
      <c r="B57" s="30" t="s">
        <v>25</v>
      </c>
      <c r="C57" s="31"/>
      <c r="D57" s="13"/>
    </row>
    <row r="58" spans="2:4" x14ac:dyDescent="0.3">
      <c r="B58" s="14" t="s">
        <v>15</v>
      </c>
      <c r="C58" s="15"/>
      <c r="D58" s="12">
        <f>SUM(D41:D57)</f>
        <v>8914790</v>
      </c>
    </row>
  </sheetData>
  <mergeCells count="16">
    <mergeCell ref="B51:C51"/>
    <mergeCell ref="B52:C52"/>
    <mergeCell ref="B53:C53"/>
    <mergeCell ref="B57:C57"/>
    <mergeCell ref="B45:C45"/>
    <mergeCell ref="B46:C46"/>
    <mergeCell ref="B47:C47"/>
    <mergeCell ref="B48:C48"/>
    <mergeCell ref="B49:C49"/>
    <mergeCell ref="B50:C50"/>
    <mergeCell ref="E17:G17"/>
    <mergeCell ref="E24:G24"/>
    <mergeCell ref="B41:C41"/>
    <mergeCell ref="B42:C42"/>
    <mergeCell ref="B43:C43"/>
    <mergeCell ref="B44:C4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58"/>
  <sheetViews>
    <sheetView topLeftCell="A31" zoomScale="85" zoomScaleNormal="85" workbookViewId="0">
      <selection activeCell="K39" sqref="K39"/>
    </sheetView>
  </sheetViews>
  <sheetFormatPr defaultRowHeight="14.4" x14ac:dyDescent="0.3"/>
  <cols>
    <col min="3" max="3" width="23.88671875" customWidth="1"/>
    <col min="4" max="4" width="15.44140625" customWidth="1"/>
    <col min="5" max="5" width="13.6640625" customWidth="1"/>
    <col min="6" max="6" width="16.5546875" customWidth="1"/>
    <col min="7" max="7" width="15.6640625" customWidth="1"/>
    <col min="9" max="9" width="12.5546875" customWidth="1"/>
    <col min="11" max="11" width="23.88671875" customWidth="1"/>
    <col min="12" max="12" width="22" customWidth="1"/>
    <col min="13" max="13" width="27.88671875" customWidth="1"/>
  </cols>
  <sheetData>
    <row r="1" spans="1:6" ht="49.5" customHeight="1" x14ac:dyDescent="0.4">
      <c r="A1" s="18" t="s">
        <v>37</v>
      </c>
      <c r="B1" s="18"/>
      <c r="C1" s="18"/>
      <c r="D1" s="18"/>
      <c r="E1" s="19" t="s">
        <v>36</v>
      </c>
      <c r="F1" s="18"/>
    </row>
    <row r="2" spans="1:6" x14ac:dyDescent="0.3">
      <c r="A2" s="1" t="s">
        <v>0</v>
      </c>
      <c r="F2" s="20" t="s">
        <v>2</v>
      </c>
    </row>
    <row r="3" spans="1:6" x14ac:dyDescent="0.3">
      <c r="B3" t="s">
        <v>4</v>
      </c>
      <c r="F3" s="6">
        <v>6000</v>
      </c>
    </row>
    <row r="4" spans="1:6" x14ac:dyDescent="0.3">
      <c r="B4" t="s">
        <v>3</v>
      </c>
      <c r="F4" s="6">
        <v>8000</v>
      </c>
    </row>
    <row r="5" spans="1:6" x14ac:dyDescent="0.3">
      <c r="B5" t="s">
        <v>1</v>
      </c>
      <c r="F5" s="6">
        <v>10000</v>
      </c>
    </row>
    <row r="7" spans="1:6" x14ac:dyDescent="0.3">
      <c r="B7" s="1" t="s">
        <v>40</v>
      </c>
      <c r="F7" s="7">
        <f>(F3+4*F4+F5)/6</f>
        <v>8000</v>
      </c>
    </row>
    <row r="8" spans="1:6" x14ac:dyDescent="0.3">
      <c r="B8" s="1" t="s">
        <v>41</v>
      </c>
      <c r="F8" s="7">
        <f>F7/160</f>
        <v>50</v>
      </c>
    </row>
    <row r="9" spans="1:6" x14ac:dyDescent="0.3">
      <c r="A9" s="1" t="s">
        <v>38</v>
      </c>
      <c r="E9" s="20" t="s">
        <v>9</v>
      </c>
      <c r="F9" s="20" t="s">
        <v>2</v>
      </c>
    </row>
    <row r="10" spans="1:6" x14ac:dyDescent="0.3">
      <c r="B10" t="s">
        <v>5</v>
      </c>
      <c r="E10" s="6">
        <v>20</v>
      </c>
      <c r="F10" s="8">
        <f>$F$7*E10/100</f>
        <v>1600</v>
      </c>
    </row>
    <row r="11" spans="1:6" x14ac:dyDescent="0.3">
      <c r="B11" t="s">
        <v>6</v>
      </c>
      <c r="E11" s="6">
        <v>15</v>
      </c>
      <c r="F11" s="8">
        <f t="shared" ref="F11:F13" si="0">$F$7*E11/100</f>
        <v>1200</v>
      </c>
    </row>
    <row r="12" spans="1:6" x14ac:dyDescent="0.3">
      <c r="B12" t="s">
        <v>7</v>
      </c>
      <c r="E12" s="6">
        <v>45</v>
      </c>
      <c r="F12" s="8">
        <f t="shared" si="0"/>
        <v>3600</v>
      </c>
    </row>
    <row r="13" spans="1:6" x14ac:dyDescent="0.3">
      <c r="B13" t="s">
        <v>8</v>
      </c>
      <c r="E13" s="6">
        <v>20</v>
      </c>
      <c r="F13" s="8">
        <f t="shared" si="0"/>
        <v>1600</v>
      </c>
    </row>
    <row r="14" spans="1:6" x14ac:dyDescent="0.3">
      <c r="F14" s="8"/>
    </row>
    <row r="15" spans="1:6" x14ac:dyDescent="0.3">
      <c r="B15" s="1" t="s">
        <v>15</v>
      </c>
      <c r="E15" s="1">
        <f>SUM(E10:E14)</f>
        <v>100</v>
      </c>
      <c r="F15" s="7">
        <f>SUM(F10:F14)</f>
        <v>8000</v>
      </c>
    </row>
    <row r="17" spans="1:11" x14ac:dyDescent="0.3">
      <c r="A17" s="1" t="s">
        <v>10</v>
      </c>
      <c r="B17" s="1"/>
      <c r="C17" s="1"/>
      <c r="D17" s="1"/>
      <c r="E17" s="28" t="s">
        <v>9</v>
      </c>
      <c r="F17" s="29"/>
      <c r="G17" s="29"/>
    </row>
    <row r="18" spans="1:11" x14ac:dyDescent="0.3">
      <c r="E18" s="4" t="s">
        <v>11</v>
      </c>
      <c r="F18" s="4" t="s">
        <v>12</v>
      </c>
      <c r="G18" s="4" t="s">
        <v>13</v>
      </c>
      <c r="I18" s="4" t="s">
        <v>15</v>
      </c>
    </row>
    <row r="19" spans="1:11" x14ac:dyDescent="0.3">
      <c r="B19" t="s">
        <v>5</v>
      </c>
      <c r="E19" s="6">
        <v>75</v>
      </c>
      <c r="F19" s="6">
        <v>15</v>
      </c>
      <c r="G19" s="6">
        <v>10</v>
      </c>
      <c r="I19">
        <f>SUM(E19:H19)</f>
        <v>100</v>
      </c>
    </row>
    <row r="20" spans="1:11" x14ac:dyDescent="0.3">
      <c r="B20" t="s">
        <v>6</v>
      </c>
      <c r="E20" s="6">
        <v>40</v>
      </c>
      <c r="F20" s="6">
        <v>45</v>
      </c>
      <c r="G20" s="6">
        <v>15</v>
      </c>
      <c r="I20">
        <f t="shared" ref="I20:I22" si="1">SUM(E20:H20)</f>
        <v>100</v>
      </c>
    </row>
    <row r="21" spans="1:11" x14ac:dyDescent="0.3">
      <c r="B21" t="s">
        <v>7</v>
      </c>
      <c r="E21" s="6">
        <v>5</v>
      </c>
      <c r="F21" s="6">
        <v>85</v>
      </c>
      <c r="G21" s="6">
        <v>10</v>
      </c>
      <c r="I21">
        <f t="shared" si="1"/>
        <v>100</v>
      </c>
    </row>
    <row r="22" spans="1:11" x14ac:dyDescent="0.3">
      <c r="B22" t="s">
        <v>8</v>
      </c>
      <c r="E22" s="6">
        <v>10</v>
      </c>
      <c r="F22" s="6">
        <v>40</v>
      </c>
      <c r="G22" s="6">
        <v>50</v>
      </c>
      <c r="I22">
        <f t="shared" si="1"/>
        <v>100</v>
      </c>
    </row>
    <row r="24" spans="1:11" x14ac:dyDescent="0.3">
      <c r="A24" s="1" t="s">
        <v>14</v>
      </c>
      <c r="B24" s="1"/>
      <c r="C24" s="1"/>
      <c r="D24" s="1"/>
      <c r="E24" s="28" t="s">
        <v>2</v>
      </c>
      <c r="F24" s="29"/>
      <c r="G24" s="29"/>
    </row>
    <row r="25" spans="1:11" x14ac:dyDescent="0.3">
      <c r="E25" s="4" t="s">
        <v>11</v>
      </c>
      <c r="F25" s="4" t="s">
        <v>12</v>
      </c>
      <c r="G25" s="4" t="s">
        <v>13</v>
      </c>
      <c r="I25" s="4" t="s">
        <v>15</v>
      </c>
    </row>
    <row r="26" spans="1:11" x14ac:dyDescent="0.3">
      <c r="B26" t="s">
        <v>5</v>
      </c>
      <c r="E26" s="9">
        <f>$F10*E19/100</f>
        <v>1200</v>
      </c>
      <c r="F26" s="9">
        <f t="shared" ref="F26:G27" si="2">$F10*F19/100</f>
        <v>240</v>
      </c>
      <c r="G26" s="9">
        <f t="shared" si="2"/>
        <v>160</v>
      </c>
      <c r="I26" s="2">
        <f>SUM(E26:G26)</f>
        <v>1600</v>
      </c>
    </row>
    <row r="27" spans="1:11" x14ac:dyDescent="0.3">
      <c r="B27" t="s">
        <v>6</v>
      </c>
      <c r="E27" s="9">
        <f>$F11*E20/100</f>
        <v>480</v>
      </c>
      <c r="F27" s="9">
        <f t="shared" si="2"/>
        <v>540</v>
      </c>
      <c r="G27" s="9">
        <f t="shared" si="2"/>
        <v>180</v>
      </c>
      <c r="I27" s="2">
        <f t="shared" ref="I27:I29" si="3">SUM(E27:G27)</f>
        <v>1200</v>
      </c>
    </row>
    <row r="28" spans="1:11" x14ac:dyDescent="0.3">
      <c r="B28" t="s">
        <v>7</v>
      </c>
      <c r="E28" s="9">
        <f t="shared" ref="E28:G29" si="4">$F12*E21/100</f>
        <v>180</v>
      </c>
      <c r="F28" s="9">
        <f t="shared" si="4"/>
        <v>3060</v>
      </c>
      <c r="G28" s="9">
        <f t="shared" si="4"/>
        <v>360</v>
      </c>
      <c r="I28" s="2">
        <f t="shared" si="3"/>
        <v>3600</v>
      </c>
    </row>
    <row r="29" spans="1:11" x14ac:dyDescent="0.3">
      <c r="B29" t="s">
        <v>8</v>
      </c>
      <c r="E29" s="9">
        <f t="shared" si="4"/>
        <v>160</v>
      </c>
      <c r="F29" s="9">
        <f t="shared" si="4"/>
        <v>640</v>
      </c>
      <c r="G29" s="9">
        <f t="shared" si="4"/>
        <v>800</v>
      </c>
      <c r="I29" s="2">
        <f t="shared" si="3"/>
        <v>1600</v>
      </c>
    </row>
    <row r="30" spans="1:11" x14ac:dyDescent="0.3">
      <c r="E30" s="5"/>
      <c r="F30" s="5"/>
      <c r="G30" s="5"/>
    </row>
    <row r="31" spans="1:11" x14ac:dyDescent="0.3">
      <c r="B31" s="1" t="s">
        <v>15</v>
      </c>
      <c r="C31" s="1"/>
      <c r="D31" s="1"/>
      <c r="E31" s="10">
        <f>SUM(E26:E30)</f>
        <v>2020</v>
      </c>
      <c r="F31" s="10">
        <f t="shared" ref="F31:G31" si="5">SUM(F26:F30)</f>
        <v>4480</v>
      </c>
      <c r="G31" s="10">
        <f t="shared" si="5"/>
        <v>1500</v>
      </c>
      <c r="K31" t="s">
        <v>35</v>
      </c>
    </row>
    <row r="33" spans="1:13" x14ac:dyDescent="0.3">
      <c r="A33" s="1" t="s">
        <v>16</v>
      </c>
      <c r="E33" s="4" t="s">
        <v>11</v>
      </c>
      <c r="F33" s="4" t="s">
        <v>12</v>
      </c>
      <c r="G33" s="4" t="s">
        <v>13</v>
      </c>
      <c r="K33" t="s">
        <v>32</v>
      </c>
      <c r="L33" t="s">
        <v>33</v>
      </c>
      <c r="M33" t="s">
        <v>34</v>
      </c>
    </row>
    <row r="34" spans="1:13" x14ac:dyDescent="0.3">
      <c r="A34" s="1"/>
      <c r="D34" t="s">
        <v>19</v>
      </c>
      <c r="E34" s="10">
        <f>F34*K34</f>
        <v>650</v>
      </c>
      <c r="F34" s="6">
        <v>500</v>
      </c>
      <c r="G34" s="10">
        <f>F34*M34</f>
        <v>350</v>
      </c>
      <c r="K34" s="6">
        <v>1.3</v>
      </c>
      <c r="L34" s="6">
        <v>1</v>
      </c>
      <c r="M34" s="6">
        <v>0.7</v>
      </c>
    </row>
    <row r="37" spans="1:13" x14ac:dyDescent="0.3">
      <c r="A37" s="1" t="s">
        <v>20</v>
      </c>
      <c r="E37" s="4" t="s">
        <v>11</v>
      </c>
      <c r="F37" s="4" t="s">
        <v>12</v>
      </c>
      <c r="G37" s="4" t="s">
        <v>13</v>
      </c>
      <c r="I37" s="4" t="s">
        <v>15</v>
      </c>
    </row>
    <row r="38" spans="1:13" x14ac:dyDescent="0.3">
      <c r="E38" s="11">
        <f>E34*E31</f>
        <v>1313000</v>
      </c>
      <c r="F38" s="11">
        <f t="shared" ref="F38:G38" si="6">F34*F31</f>
        <v>2240000</v>
      </c>
      <c r="G38" s="11">
        <f t="shared" si="6"/>
        <v>525000</v>
      </c>
      <c r="H38" s="11"/>
      <c r="I38" s="12">
        <f>SUM(E38:H38)</f>
        <v>4078000</v>
      </c>
    </row>
    <row r="40" spans="1:13" x14ac:dyDescent="0.3">
      <c r="A40" s="1" t="s">
        <v>22</v>
      </c>
    </row>
    <row r="41" spans="1:13" x14ac:dyDescent="0.3">
      <c r="B41" s="26" t="s">
        <v>17</v>
      </c>
      <c r="C41" s="27"/>
      <c r="D41" s="11">
        <f>I38</f>
        <v>4078000</v>
      </c>
    </row>
    <row r="42" spans="1:13" x14ac:dyDescent="0.3">
      <c r="B42" s="26" t="s">
        <v>39</v>
      </c>
      <c r="C42" s="27"/>
      <c r="D42" s="11">
        <f>D41*G42/100</f>
        <v>1223400</v>
      </c>
      <c r="F42" t="s">
        <v>23</v>
      </c>
      <c r="G42" s="6">
        <v>30</v>
      </c>
    </row>
    <row r="43" spans="1:13" x14ac:dyDescent="0.3">
      <c r="B43" s="26" t="s">
        <v>18</v>
      </c>
      <c r="C43" s="27"/>
      <c r="D43" s="11">
        <f>D41*G43/100</f>
        <v>815600</v>
      </c>
      <c r="F43" t="s">
        <v>21</v>
      </c>
      <c r="G43" s="6">
        <v>20</v>
      </c>
    </row>
    <row r="44" spans="1:13" ht="47.25" customHeight="1" x14ac:dyDescent="0.3">
      <c r="B44" s="26" t="s">
        <v>24</v>
      </c>
      <c r="C44" s="27"/>
      <c r="D44" s="13">
        <v>800000</v>
      </c>
    </row>
    <row r="45" spans="1:13" x14ac:dyDescent="0.3">
      <c r="B45" s="26" t="s">
        <v>26</v>
      </c>
      <c r="C45" s="27"/>
      <c r="D45" s="13"/>
    </row>
    <row r="46" spans="1:13" ht="35.25" customHeight="1" x14ac:dyDescent="0.3">
      <c r="B46" s="26" t="s">
        <v>27</v>
      </c>
      <c r="C46" s="27"/>
      <c r="D46" s="13">
        <v>500000</v>
      </c>
    </row>
    <row r="47" spans="1:13" ht="17.25" customHeight="1" x14ac:dyDescent="0.3">
      <c r="B47" s="26" t="s">
        <v>28</v>
      </c>
      <c r="C47" s="27"/>
      <c r="D47" s="13"/>
    </row>
    <row r="48" spans="1:13" ht="19.5" customHeight="1" x14ac:dyDescent="0.3">
      <c r="B48" s="26" t="s">
        <v>29</v>
      </c>
      <c r="C48" s="27"/>
      <c r="D48" s="13"/>
    </row>
    <row r="49" spans="2:4" ht="15.75" customHeight="1" x14ac:dyDescent="0.3">
      <c r="B49" s="26" t="s">
        <v>31</v>
      </c>
      <c r="C49" s="27"/>
      <c r="D49" s="13">
        <v>180000</v>
      </c>
    </row>
    <row r="50" spans="2:4" ht="21.75" customHeight="1" x14ac:dyDescent="0.3">
      <c r="B50" s="26" t="s">
        <v>30</v>
      </c>
      <c r="C50" s="27"/>
      <c r="D50" s="13"/>
    </row>
    <row r="51" spans="2:4" ht="15.75" customHeight="1" x14ac:dyDescent="0.3">
      <c r="B51" s="26"/>
      <c r="C51" s="27"/>
      <c r="D51" s="13"/>
    </row>
    <row r="52" spans="2:4" x14ac:dyDescent="0.3">
      <c r="B52" s="26"/>
      <c r="C52" s="27"/>
      <c r="D52" s="13"/>
    </row>
    <row r="53" spans="2:4" x14ac:dyDescent="0.3">
      <c r="B53" s="30" t="s">
        <v>25</v>
      </c>
      <c r="C53" s="31"/>
      <c r="D53" s="13"/>
    </row>
    <row r="54" spans="2:4" x14ac:dyDescent="0.3">
      <c r="B54" s="21"/>
      <c r="C54" s="22"/>
      <c r="D54" s="13"/>
    </row>
    <row r="55" spans="2:4" x14ac:dyDescent="0.3">
      <c r="B55" s="21"/>
      <c r="C55" s="22"/>
      <c r="D55" s="13"/>
    </row>
    <row r="56" spans="2:4" x14ac:dyDescent="0.3">
      <c r="B56" s="21"/>
      <c r="C56" s="22"/>
      <c r="D56" s="13"/>
    </row>
    <row r="57" spans="2:4" x14ac:dyDescent="0.3">
      <c r="B57" s="30" t="s">
        <v>25</v>
      </c>
      <c r="C57" s="31"/>
      <c r="D57" s="13"/>
    </row>
    <row r="58" spans="2:4" x14ac:dyDescent="0.3">
      <c r="B58" s="14" t="s">
        <v>15</v>
      </c>
      <c r="C58" s="15"/>
      <c r="D58" s="12">
        <f>SUM(D41:D57)</f>
        <v>7597000</v>
      </c>
    </row>
  </sheetData>
  <mergeCells count="16">
    <mergeCell ref="B44:C44"/>
    <mergeCell ref="E17:G17"/>
    <mergeCell ref="E24:G24"/>
    <mergeCell ref="B41:C41"/>
    <mergeCell ref="B42:C42"/>
    <mergeCell ref="B43:C43"/>
    <mergeCell ref="B51:C51"/>
    <mergeCell ref="B52:C52"/>
    <mergeCell ref="B53:C53"/>
    <mergeCell ref="B57:C57"/>
    <mergeCell ref="B45:C45"/>
    <mergeCell ref="B46:C46"/>
    <mergeCell ref="B47:C47"/>
    <mergeCell ref="B48:C48"/>
    <mergeCell ref="B49:C49"/>
    <mergeCell ref="B50:C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8"/>
  <sheetViews>
    <sheetView zoomScale="85" zoomScaleNormal="85" workbookViewId="0">
      <selection activeCell="D1" sqref="D1"/>
    </sheetView>
  </sheetViews>
  <sheetFormatPr defaultRowHeight="14.4" x14ac:dyDescent="0.3"/>
  <cols>
    <col min="3" max="3" width="23.88671875" customWidth="1"/>
    <col min="4" max="4" width="15.44140625" customWidth="1"/>
    <col min="5" max="5" width="13.6640625" customWidth="1"/>
    <col min="6" max="6" width="16.5546875" customWidth="1"/>
    <col min="7" max="7" width="15.6640625" customWidth="1"/>
    <col min="9" max="9" width="9.5546875" bestFit="1" customWidth="1"/>
    <col min="11" max="11" width="23.88671875" customWidth="1"/>
    <col min="12" max="12" width="22" customWidth="1"/>
    <col min="13" max="13" width="27.88671875" customWidth="1"/>
  </cols>
  <sheetData>
    <row r="1" spans="1:6" ht="49.5" customHeight="1" x14ac:dyDescent="0.4">
      <c r="A1" s="18" t="s">
        <v>37</v>
      </c>
      <c r="B1" s="18"/>
      <c r="C1" s="18"/>
      <c r="D1" s="18"/>
      <c r="E1" s="19" t="s">
        <v>36</v>
      </c>
      <c r="F1" s="18"/>
    </row>
    <row r="2" spans="1:6" x14ac:dyDescent="0.3">
      <c r="A2" s="1" t="s">
        <v>0</v>
      </c>
      <c r="F2" s="3" t="s">
        <v>2</v>
      </c>
    </row>
    <row r="3" spans="1:6" x14ac:dyDescent="0.3">
      <c r="B3" t="s">
        <v>4</v>
      </c>
      <c r="F3" s="6">
        <v>1200</v>
      </c>
    </row>
    <row r="4" spans="1:6" x14ac:dyDescent="0.3">
      <c r="B4" t="s">
        <v>3</v>
      </c>
      <c r="F4" s="6">
        <v>1800</v>
      </c>
    </row>
    <row r="5" spans="1:6" x14ac:dyDescent="0.3">
      <c r="B5" t="s">
        <v>1</v>
      </c>
      <c r="F5" s="6">
        <v>2600</v>
      </c>
    </row>
    <row r="7" spans="1:6" x14ac:dyDescent="0.3">
      <c r="B7" s="1" t="s">
        <v>40</v>
      </c>
      <c r="F7" s="7">
        <f>(F3+4*F4+F5)/6</f>
        <v>1833.3333333333333</v>
      </c>
    </row>
    <row r="8" spans="1:6" x14ac:dyDescent="0.3">
      <c r="B8" s="1" t="s">
        <v>41</v>
      </c>
      <c r="F8" s="7">
        <f>F7/160</f>
        <v>11.458333333333332</v>
      </c>
    </row>
    <row r="9" spans="1:6" x14ac:dyDescent="0.3">
      <c r="A9" s="1" t="s">
        <v>38</v>
      </c>
      <c r="E9" s="3" t="s">
        <v>9</v>
      </c>
      <c r="F9" s="3" t="s">
        <v>2</v>
      </c>
    </row>
    <row r="10" spans="1:6" x14ac:dyDescent="0.3">
      <c r="B10" t="s">
        <v>5</v>
      </c>
      <c r="E10" s="6">
        <v>15</v>
      </c>
      <c r="F10" s="8">
        <f>$F$7*E10/100</f>
        <v>275</v>
      </c>
    </row>
    <row r="11" spans="1:6" x14ac:dyDescent="0.3">
      <c r="B11" t="s">
        <v>6</v>
      </c>
      <c r="E11" s="6">
        <v>20</v>
      </c>
      <c r="F11" s="8">
        <f t="shared" ref="F11:F13" si="0">$F$7*E11/100</f>
        <v>366.66666666666663</v>
      </c>
    </row>
    <row r="12" spans="1:6" x14ac:dyDescent="0.3">
      <c r="B12" t="s">
        <v>7</v>
      </c>
      <c r="E12" s="6">
        <v>45</v>
      </c>
      <c r="F12" s="8">
        <f t="shared" si="0"/>
        <v>825</v>
      </c>
    </row>
    <row r="13" spans="1:6" x14ac:dyDescent="0.3">
      <c r="B13" t="s">
        <v>8</v>
      </c>
      <c r="E13" s="6">
        <v>20</v>
      </c>
      <c r="F13" s="8">
        <f t="shared" si="0"/>
        <v>366.66666666666663</v>
      </c>
    </row>
    <row r="14" spans="1:6" x14ac:dyDescent="0.3">
      <c r="F14" s="8"/>
    </row>
    <row r="15" spans="1:6" x14ac:dyDescent="0.3">
      <c r="B15" s="1" t="s">
        <v>15</v>
      </c>
      <c r="E15" s="1">
        <f>SUM(E10:E14)</f>
        <v>100</v>
      </c>
      <c r="F15" s="7">
        <f>SUM(F10:F14)</f>
        <v>1833.333333333333</v>
      </c>
    </row>
    <row r="17" spans="1:11" x14ac:dyDescent="0.3">
      <c r="A17" s="1" t="s">
        <v>10</v>
      </c>
      <c r="B17" s="1"/>
      <c r="C17" s="1"/>
      <c r="D17" s="1"/>
      <c r="E17" s="28" t="s">
        <v>9</v>
      </c>
      <c r="F17" s="29"/>
      <c r="G17" s="29"/>
    </row>
    <row r="18" spans="1:11" x14ac:dyDescent="0.3">
      <c r="E18" s="4" t="s">
        <v>11</v>
      </c>
      <c r="F18" s="4" t="s">
        <v>12</v>
      </c>
      <c r="G18" s="4" t="s">
        <v>13</v>
      </c>
      <c r="I18" s="4" t="s">
        <v>15</v>
      </c>
    </row>
    <row r="19" spans="1:11" x14ac:dyDescent="0.3">
      <c r="B19" t="s">
        <v>5</v>
      </c>
      <c r="E19" s="6">
        <v>60</v>
      </c>
      <c r="F19" s="6">
        <v>15</v>
      </c>
      <c r="G19" s="6">
        <v>25</v>
      </c>
      <c r="I19">
        <f>SUM(E19:H19)</f>
        <v>100</v>
      </c>
    </row>
    <row r="20" spans="1:11" x14ac:dyDescent="0.3">
      <c r="B20" t="s">
        <v>6</v>
      </c>
      <c r="E20" s="6">
        <v>45</v>
      </c>
      <c r="F20" s="6">
        <v>40</v>
      </c>
      <c r="G20" s="6">
        <v>15</v>
      </c>
      <c r="I20">
        <f t="shared" ref="I20:I22" si="1">SUM(E20:H20)</f>
        <v>100</v>
      </c>
    </row>
    <row r="21" spans="1:11" x14ac:dyDescent="0.3">
      <c r="B21" t="s">
        <v>7</v>
      </c>
      <c r="E21" s="6">
        <v>10</v>
      </c>
      <c r="F21" s="6">
        <v>70</v>
      </c>
      <c r="G21" s="6">
        <v>20</v>
      </c>
      <c r="I21">
        <f t="shared" si="1"/>
        <v>100</v>
      </c>
    </row>
    <row r="22" spans="1:11" x14ac:dyDescent="0.3">
      <c r="B22" t="s">
        <v>8</v>
      </c>
      <c r="E22" s="6">
        <v>15</v>
      </c>
      <c r="F22" s="6">
        <v>50</v>
      </c>
      <c r="G22" s="6">
        <v>35</v>
      </c>
      <c r="I22">
        <f t="shared" si="1"/>
        <v>100</v>
      </c>
    </row>
    <row r="24" spans="1:11" x14ac:dyDescent="0.3">
      <c r="A24" s="1" t="s">
        <v>14</v>
      </c>
      <c r="B24" s="1"/>
      <c r="C24" s="1"/>
      <c r="D24" s="1"/>
      <c r="E24" s="28" t="s">
        <v>2</v>
      </c>
      <c r="F24" s="29"/>
      <c r="G24" s="29"/>
    </row>
    <row r="25" spans="1:11" x14ac:dyDescent="0.3">
      <c r="E25" s="4" t="s">
        <v>11</v>
      </c>
      <c r="F25" s="4" t="s">
        <v>12</v>
      </c>
      <c r="G25" s="4" t="s">
        <v>13</v>
      </c>
      <c r="I25" s="4" t="s">
        <v>15</v>
      </c>
    </row>
    <row r="26" spans="1:11" x14ac:dyDescent="0.3">
      <c r="B26" t="s">
        <v>5</v>
      </c>
      <c r="E26" s="9">
        <f>$F10*E19/100</f>
        <v>165</v>
      </c>
      <c r="F26" s="9">
        <f t="shared" ref="F26:G26" si="2">$F10*F19/100</f>
        <v>41.25</v>
      </c>
      <c r="G26" s="9">
        <f t="shared" si="2"/>
        <v>68.75</v>
      </c>
      <c r="I26" s="2">
        <f>SUM(E26:G26)</f>
        <v>275</v>
      </c>
    </row>
    <row r="27" spans="1:11" x14ac:dyDescent="0.3">
      <c r="B27" t="s">
        <v>6</v>
      </c>
      <c r="E27" s="9">
        <f>$F11*E20/100</f>
        <v>165</v>
      </c>
      <c r="F27" s="9">
        <f t="shared" ref="F27:G27" si="3">$F11*F20/100</f>
        <v>146.66666666666663</v>
      </c>
      <c r="G27" s="9">
        <f t="shared" si="3"/>
        <v>54.999999999999993</v>
      </c>
      <c r="I27" s="2">
        <f t="shared" ref="I27:I29" si="4">SUM(E27:G27)</f>
        <v>366.66666666666663</v>
      </c>
    </row>
    <row r="28" spans="1:11" x14ac:dyDescent="0.3">
      <c r="B28" t="s">
        <v>7</v>
      </c>
      <c r="E28" s="9">
        <f t="shared" ref="E28:G29" si="5">$F12*E21/100</f>
        <v>82.5</v>
      </c>
      <c r="F28" s="9">
        <f t="shared" si="5"/>
        <v>577.5</v>
      </c>
      <c r="G28" s="9">
        <f t="shared" si="5"/>
        <v>165</v>
      </c>
      <c r="I28" s="2">
        <f t="shared" si="4"/>
        <v>825</v>
      </c>
    </row>
    <row r="29" spans="1:11" x14ac:dyDescent="0.3">
      <c r="B29" t="s">
        <v>8</v>
      </c>
      <c r="E29" s="9">
        <f t="shared" si="5"/>
        <v>54.999999999999993</v>
      </c>
      <c r="F29" s="9">
        <f t="shared" si="5"/>
        <v>183.33333333333331</v>
      </c>
      <c r="G29" s="9">
        <f t="shared" si="5"/>
        <v>128.33333333333331</v>
      </c>
      <c r="I29" s="2">
        <f t="shared" si="4"/>
        <v>366.66666666666663</v>
      </c>
    </row>
    <row r="30" spans="1:11" x14ac:dyDescent="0.3">
      <c r="E30" s="5"/>
      <c r="F30" s="5"/>
      <c r="G30" s="5"/>
    </row>
    <row r="31" spans="1:11" x14ac:dyDescent="0.3">
      <c r="B31" s="1" t="s">
        <v>15</v>
      </c>
      <c r="C31" s="1"/>
      <c r="D31" s="1"/>
      <c r="E31" s="10">
        <f>SUM(E26:E30)</f>
        <v>467.5</v>
      </c>
      <c r="F31" s="10">
        <f t="shared" ref="F31:G31" si="6">SUM(F26:F30)</f>
        <v>948.75</v>
      </c>
      <c r="G31" s="10">
        <f t="shared" si="6"/>
        <v>417.08333333333331</v>
      </c>
      <c r="K31" t="s">
        <v>35</v>
      </c>
    </row>
    <row r="33" spans="1:13" x14ac:dyDescent="0.3">
      <c r="A33" s="1" t="s">
        <v>16</v>
      </c>
      <c r="E33" s="4" t="s">
        <v>11</v>
      </c>
      <c r="F33" s="4" t="s">
        <v>12</v>
      </c>
      <c r="G33" s="4" t="s">
        <v>13</v>
      </c>
      <c r="K33" t="s">
        <v>32</v>
      </c>
      <c r="L33" t="s">
        <v>33</v>
      </c>
      <c r="M33" t="s">
        <v>34</v>
      </c>
    </row>
    <row r="34" spans="1:13" x14ac:dyDescent="0.3">
      <c r="A34" s="1"/>
      <c r="D34" t="s">
        <v>19</v>
      </c>
      <c r="E34" s="10">
        <f>F34*K34</f>
        <v>437.5</v>
      </c>
      <c r="F34" s="6">
        <v>350</v>
      </c>
      <c r="G34" s="10">
        <f>F34*M34</f>
        <v>262.5</v>
      </c>
      <c r="K34" s="6">
        <v>1.25</v>
      </c>
      <c r="L34" s="6">
        <v>1</v>
      </c>
      <c r="M34" s="6">
        <v>0.75</v>
      </c>
    </row>
    <row r="37" spans="1:13" x14ac:dyDescent="0.3">
      <c r="A37" s="1" t="s">
        <v>20</v>
      </c>
      <c r="E37" s="4" t="s">
        <v>11</v>
      </c>
      <c r="F37" s="4" t="s">
        <v>12</v>
      </c>
      <c r="G37" s="4" t="s">
        <v>13</v>
      </c>
      <c r="I37" s="4" t="s">
        <v>15</v>
      </c>
    </row>
    <row r="38" spans="1:13" x14ac:dyDescent="0.3">
      <c r="E38" s="11">
        <f>E34*E31</f>
        <v>204531.25</v>
      </c>
      <c r="F38" s="11">
        <f t="shared" ref="F38:G38" si="7">F34*F31</f>
        <v>332062.5</v>
      </c>
      <c r="G38" s="11">
        <f t="shared" si="7"/>
        <v>109484.375</v>
      </c>
      <c r="H38" s="11"/>
      <c r="I38" s="12">
        <f>SUM(E38:H38)</f>
        <v>646078.125</v>
      </c>
    </row>
    <row r="40" spans="1:13" x14ac:dyDescent="0.3">
      <c r="A40" s="1" t="s">
        <v>22</v>
      </c>
    </row>
    <row r="41" spans="1:13" x14ac:dyDescent="0.3">
      <c r="B41" s="26" t="s">
        <v>17</v>
      </c>
      <c r="C41" s="27"/>
      <c r="D41" s="11">
        <f>I38</f>
        <v>646078.125</v>
      </c>
    </row>
    <row r="42" spans="1:13" x14ac:dyDescent="0.3">
      <c r="B42" s="26" t="s">
        <v>39</v>
      </c>
      <c r="C42" s="27"/>
      <c r="D42" s="11">
        <f>D41*G42/100</f>
        <v>193823.4375</v>
      </c>
      <c r="F42" t="s">
        <v>23</v>
      </c>
      <c r="G42" s="6">
        <v>30</v>
      </c>
    </row>
    <row r="43" spans="1:13" x14ac:dyDescent="0.3">
      <c r="B43" s="26" t="s">
        <v>18</v>
      </c>
      <c r="C43" s="27"/>
      <c r="D43" s="11">
        <f>D41+G43/100</f>
        <v>646078.375</v>
      </c>
      <c r="F43" t="s">
        <v>21</v>
      </c>
      <c r="G43" s="6">
        <v>25</v>
      </c>
    </row>
    <row r="44" spans="1:13" ht="47.25" customHeight="1" x14ac:dyDescent="0.3">
      <c r="B44" s="26" t="s">
        <v>24</v>
      </c>
      <c r="C44" s="27"/>
      <c r="D44" s="13">
        <v>55000</v>
      </c>
    </row>
    <row r="45" spans="1:13" x14ac:dyDescent="0.3">
      <c r="B45" s="26" t="s">
        <v>26</v>
      </c>
      <c r="C45" s="27"/>
      <c r="D45" s="13"/>
    </row>
    <row r="46" spans="1:13" ht="35.25" customHeight="1" x14ac:dyDescent="0.3">
      <c r="B46" s="26" t="s">
        <v>27</v>
      </c>
      <c r="C46" s="27"/>
      <c r="D46" s="13">
        <v>45000</v>
      </c>
    </row>
    <row r="47" spans="1:13" ht="17.25" customHeight="1" x14ac:dyDescent="0.3">
      <c r="B47" s="26" t="s">
        <v>28</v>
      </c>
      <c r="C47" s="27"/>
      <c r="D47" s="13"/>
    </row>
    <row r="48" spans="1:13" ht="19.5" customHeight="1" x14ac:dyDescent="0.3">
      <c r="B48" s="26" t="s">
        <v>29</v>
      </c>
      <c r="C48" s="27"/>
      <c r="D48" s="13"/>
    </row>
    <row r="49" spans="2:4" ht="15.75" customHeight="1" x14ac:dyDescent="0.3">
      <c r="B49" s="26" t="s">
        <v>31</v>
      </c>
      <c r="C49" s="27"/>
      <c r="D49" s="13">
        <v>15000</v>
      </c>
    </row>
    <row r="50" spans="2:4" ht="21.75" customHeight="1" x14ac:dyDescent="0.3">
      <c r="B50" s="26" t="s">
        <v>30</v>
      </c>
      <c r="C50" s="27"/>
      <c r="D50" s="13"/>
    </row>
    <row r="51" spans="2:4" ht="15.75" customHeight="1" x14ac:dyDescent="0.3">
      <c r="B51" s="26"/>
      <c r="C51" s="27"/>
      <c r="D51" s="13"/>
    </row>
    <row r="52" spans="2:4" x14ac:dyDescent="0.3">
      <c r="B52" s="26"/>
      <c r="C52" s="27"/>
      <c r="D52" s="13"/>
    </row>
    <row r="53" spans="2:4" x14ac:dyDescent="0.3">
      <c r="B53" s="30" t="s">
        <v>25</v>
      </c>
      <c r="C53" s="31"/>
      <c r="D53" s="13"/>
    </row>
    <row r="54" spans="2:4" x14ac:dyDescent="0.3">
      <c r="B54" s="16"/>
      <c r="C54" s="17"/>
      <c r="D54" s="13"/>
    </row>
    <row r="55" spans="2:4" x14ac:dyDescent="0.3">
      <c r="B55" s="16"/>
      <c r="C55" s="17"/>
      <c r="D55" s="13"/>
    </row>
    <row r="56" spans="2:4" x14ac:dyDescent="0.3">
      <c r="B56" s="16"/>
      <c r="C56" s="17"/>
      <c r="D56" s="13"/>
    </row>
    <row r="57" spans="2:4" x14ac:dyDescent="0.3">
      <c r="B57" s="30" t="s">
        <v>25</v>
      </c>
      <c r="C57" s="31"/>
      <c r="D57" s="13"/>
    </row>
    <row r="58" spans="2:4" x14ac:dyDescent="0.3">
      <c r="B58" s="14" t="s">
        <v>15</v>
      </c>
      <c r="C58" s="15"/>
      <c r="D58" s="12">
        <f>SUM(D41:D57)</f>
        <v>1600979.9375</v>
      </c>
    </row>
  </sheetData>
  <sheetProtection algorithmName="SHA-512" hashValue="f/g8vQANjMIfQ+3JGTCUELcsoaD5wfA7d2YqhRBy/M1COV1QI0anNxy0x/6iJv6p6ZgyBPhx1tw08ilgj9WJkQ==" saltValue="PqpmmgBDqKxeNLP7eY8BSA==" spinCount="100000" sheet="1" objects="1" scenarios="1"/>
  <mergeCells count="16">
    <mergeCell ref="B57:C57"/>
    <mergeCell ref="B53:C53"/>
    <mergeCell ref="B45:C45"/>
    <mergeCell ref="B46:C46"/>
    <mergeCell ref="B52:C52"/>
    <mergeCell ref="B47:C47"/>
    <mergeCell ref="B48:C48"/>
    <mergeCell ref="B49:C49"/>
    <mergeCell ref="B50:C50"/>
    <mergeCell ref="B51:C51"/>
    <mergeCell ref="B44:C44"/>
    <mergeCell ref="E17:G17"/>
    <mergeCell ref="E24:G24"/>
    <mergeCell ref="B41:C41"/>
    <mergeCell ref="B42:C42"/>
    <mergeCell ref="B43:C4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1 идея</vt:lpstr>
      <vt:lpstr>2 идея</vt:lpstr>
      <vt:lpstr>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2026-02-27T15:14:17Z</dcterms:modified>
</cp:coreProperties>
</file>