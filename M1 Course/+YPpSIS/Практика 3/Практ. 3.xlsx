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emodanovSD\Desktop\"/>
    </mc:Choice>
  </mc:AlternateContent>
  <bookViews>
    <workbookView xWindow="0" yWindow="0" windowWidth="28800" windowHeight="12300"/>
  </bookViews>
  <sheets>
    <sheet name="Оценки" sheetId="4" r:id="rId1"/>
  </sheets>
  <calcPr calcId="162913"/>
</workbook>
</file>

<file path=xl/calcChain.xml><?xml version="1.0" encoding="utf-8"?>
<calcChain xmlns="http://schemas.openxmlformats.org/spreadsheetml/2006/main">
  <c r="I19" i="4" l="1"/>
  <c r="J19" i="4" s="1"/>
  <c r="L19" i="4" s="1"/>
  <c r="I18" i="4"/>
  <c r="J18" i="4" s="1"/>
  <c r="L18" i="4" s="1"/>
  <c r="J17" i="4"/>
  <c r="L17" i="4" s="1"/>
  <c r="I17" i="4"/>
  <c r="I16" i="4"/>
  <c r="J16" i="4" s="1"/>
  <c r="L16" i="4" s="1"/>
  <c r="I15" i="4"/>
  <c r="J15" i="4" s="1"/>
  <c r="L15" i="4" s="1"/>
  <c r="I14" i="4"/>
  <c r="J14" i="4" s="1"/>
  <c r="L14" i="4" s="1"/>
  <c r="I13" i="4"/>
  <c r="J13" i="4" s="1"/>
  <c r="L13" i="4" s="1"/>
  <c r="I12" i="4"/>
  <c r="J12" i="4" s="1"/>
  <c r="L12" i="4" s="1"/>
  <c r="J11" i="4"/>
  <c r="L11" i="4" s="1"/>
  <c r="I11" i="4"/>
  <c r="I10" i="4"/>
  <c r="J10" i="4" s="1"/>
  <c r="L10" i="4" s="1"/>
  <c r="I9" i="4"/>
  <c r="J9" i="4" s="1"/>
  <c r="L9" i="4" s="1"/>
  <c r="I8" i="4"/>
  <c r="J8" i="4" s="1"/>
  <c r="L8" i="4" s="1"/>
  <c r="J7" i="4"/>
  <c r="L7" i="4" s="1"/>
  <c r="I7" i="4"/>
  <c r="I6" i="4"/>
  <c r="J6" i="4" s="1"/>
  <c r="L6" i="4" s="1"/>
  <c r="I5" i="4"/>
  <c r="J5" i="4" s="1"/>
  <c r="L5" i="4" s="1"/>
  <c r="J4" i="4"/>
  <c r="L4" i="4" s="1"/>
  <c r="I4" i="4"/>
</calcChain>
</file>

<file path=xl/sharedStrings.xml><?xml version="1.0" encoding="utf-8"?>
<sst xmlns="http://schemas.openxmlformats.org/spreadsheetml/2006/main" count="106" uniqueCount="55">
  <si>
    <t>Категория</t>
  </si>
  <si>
    <t>Код</t>
  </si>
  <si>
    <t>Рискообразующий фактор</t>
  </si>
  <si>
    <t>Сроки</t>
  </si>
  <si>
    <t>Бюджет</t>
  </si>
  <si>
    <t>Функционал</t>
  </si>
  <si>
    <t>Качество</t>
  </si>
  <si>
    <t>R1</t>
  </si>
  <si>
    <t>Неопределенность правовых оснований обработки персональных и психологических данных студентов</t>
  </si>
  <si>
    <t>R2</t>
  </si>
  <si>
    <t>Завышенная метрика точности модели 85 % без предварительного аудита данных</t>
  </si>
  <si>
    <t>R3</t>
  </si>
  <si>
    <t>Не назначены владельцы данных и правила Data Governance</t>
  </si>
  <si>
    <t>R4</t>
  </si>
  <si>
    <t>Недостаточная экспертиза в переводе образовательных целей в ML-метрики</t>
  </si>
  <si>
    <t>R5</t>
  </si>
  <si>
    <t>Дефицит ML/MLOps-специалистов на рынке</t>
  </si>
  <si>
    <t>R6</t>
  </si>
  <si>
    <t>Низкое качество исторических данных для обучения моделей</t>
  </si>
  <si>
    <t>R7</t>
  </si>
  <si>
    <t>Недооценка вычислительных ресурсов для обучения и пакетного пересчета траекторий</t>
  </si>
  <si>
    <t>R8</t>
  </si>
  <si>
    <t>Смешение исследовательской и инженерной фаз без time-boxing</t>
  </si>
  <si>
    <t>R9</t>
  </si>
  <si>
    <t>Затягивание согласования критериев приемки академическим руководством</t>
  </si>
  <si>
    <t>R10</t>
  </si>
  <si>
    <t>Нерепрезентативная тестовая выборка и смещение модели</t>
  </si>
  <si>
    <t>R11</t>
  </si>
  <si>
    <t>XAI-отчеты непонятны педагогам и студентам</t>
  </si>
  <si>
    <t>R12</t>
  </si>
  <si>
    <t>Ошибки ролевого доступа к прогнозам и персональным данным</t>
  </si>
  <si>
    <t>R13</t>
  </si>
  <si>
    <t>Жалобы студентов на дискриминационный или непрозрачный прогноз отчисления</t>
  </si>
  <si>
    <t>R14</t>
  </si>
  <si>
    <t>Нестабильность интеграции с LMS, расписанием и системами деканата</t>
  </si>
  <si>
    <t>R15</t>
  </si>
  <si>
    <t>Отсутствие мониторинга дрейфа данных и процедуры переобучения модели</t>
  </si>
  <si>
    <t>R16</t>
  </si>
  <si>
    <t>Кураторы и преподаватели не используют алерты и рекомендации системы</t>
  </si>
  <si>
    <t>Средняя</t>
  </si>
  <si>
    <t>Выше средней</t>
  </si>
  <si>
    <t>Высокая</t>
  </si>
  <si>
    <t>Очень нескоро</t>
  </si>
  <si>
    <t>Не очень скоро</t>
  </si>
  <si>
    <t>Очень скоро</t>
  </si>
  <si>
    <t>Оценки влияния, интегральная критичность и категория опасности</t>
  </si>
  <si>
    <t>Вероятность, кач.</t>
  </si>
  <si>
    <t>Вероятность, числ.</t>
  </si>
  <si>
    <t>Макс. влияние</t>
  </si>
  <si>
    <t>Интегральная оценка</t>
  </si>
  <si>
    <t>Близость</t>
  </si>
  <si>
    <t>Стратегия</t>
  </si>
  <si>
    <t>Снижение</t>
  </si>
  <si>
    <t>Передача</t>
  </si>
  <si>
    <t>Уклонение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</si>
</sst>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name val="Carlito"/>
    </font>
    <font>
      <sz val="11"/>
      <name val="Carlito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1" xfId="1" applyNumberFormat="1" applyFont="1" applyFill="1" applyBorder="1" applyAlignment="1">
      <alignment vertical="top" wrapText="1"/>
    </xf>
    <xf numFmtId="2" fontId="2" fillId="0" borderId="1" xfId="1" applyNumberFormat="1" applyFont="1" applyFill="1" applyBorder="1" applyAlignment="1">
      <alignment vertical="top" wrapText="1"/>
    </xf>
    <xf numFmtId="1" fontId="2" fillId="0" borderId="1" xfId="1" applyNumberFormat="1" applyFont="1" applyFill="1" applyBorder="1" applyAlignment="1">
      <alignment vertical="top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</cellXfs>
  <cellStyles count="2">
    <cellStyle name="Normal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showGridLines="0" tabSelected="1" workbookViewId="0">
      <selection activeCell="E14" sqref="E14"/>
    </sheetView>
  </sheetViews>
  <sheetFormatPr defaultRowHeight="14.25"/>
  <cols>
    <col min="1" max="1" width="5.625" customWidth="1"/>
    <col min="2" max="2" width="41.25" customWidth="1"/>
    <col min="3" max="3" width="15.875" bestFit="1" customWidth="1"/>
    <col min="4" max="4" width="17.25" bestFit="1" customWidth="1"/>
    <col min="5" max="5" width="7.625" bestFit="1" customWidth="1"/>
    <col min="6" max="6" width="6.25" bestFit="1" customWidth="1"/>
    <col min="7" max="7" width="11.625" bestFit="1" customWidth="1"/>
    <col min="8" max="8" width="8.75" bestFit="1" customWidth="1"/>
    <col min="9" max="9" width="13.5" bestFit="1" customWidth="1"/>
    <col min="10" max="10" width="19.125" bestFit="1" customWidth="1"/>
    <col min="11" max="11" width="13.875" bestFit="1" customWidth="1"/>
    <col min="12" max="12" width="9.625" bestFit="1" customWidth="1"/>
    <col min="13" max="13" width="13.125" customWidth="1"/>
  </cols>
  <sheetData>
    <row r="1" spans="1:13" ht="24" customHeight="1">
      <c r="A1" s="4" t="s">
        <v>45</v>
      </c>
      <c r="B1" s="4" t="s">
        <v>45</v>
      </c>
      <c r="C1" s="4" t="s">
        <v>45</v>
      </c>
      <c r="D1" s="4" t="s">
        <v>45</v>
      </c>
      <c r="E1" s="4" t="s">
        <v>45</v>
      </c>
      <c r="F1" s="4" t="s">
        <v>45</v>
      </c>
      <c r="G1" s="4" t="s">
        <v>45</v>
      </c>
      <c r="H1" s="4" t="s">
        <v>45</v>
      </c>
      <c r="I1" s="4" t="s">
        <v>45</v>
      </c>
      <c r="J1" s="4" t="s">
        <v>45</v>
      </c>
      <c r="K1" s="4" t="s">
        <v>45</v>
      </c>
      <c r="L1" s="4" t="s">
        <v>45</v>
      </c>
      <c r="M1" s="4" t="s">
        <v>45</v>
      </c>
    </row>
    <row r="2" spans="1:13" ht="15.7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5.75">
      <c r="A3" s="5" t="s">
        <v>1</v>
      </c>
      <c r="B3" s="5" t="s">
        <v>2</v>
      </c>
      <c r="C3" s="5" t="s">
        <v>46</v>
      </c>
      <c r="D3" s="5" t="s">
        <v>47</v>
      </c>
      <c r="E3" s="5" t="s">
        <v>4</v>
      </c>
      <c r="F3" s="5" t="s">
        <v>3</v>
      </c>
      <c r="G3" s="5" t="s">
        <v>5</v>
      </c>
      <c r="H3" s="5" t="s">
        <v>6</v>
      </c>
      <c r="I3" s="5" t="s">
        <v>48</v>
      </c>
      <c r="J3" s="5" t="s">
        <v>49</v>
      </c>
      <c r="K3" s="5" t="s">
        <v>50</v>
      </c>
      <c r="L3" s="5" t="s">
        <v>0</v>
      </c>
      <c r="M3" s="5" t="s">
        <v>51</v>
      </c>
    </row>
    <row r="4" spans="1:13" ht="47.25">
      <c r="A4" s="1" t="s">
        <v>7</v>
      </c>
      <c r="B4" s="1" t="s">
        <v>8</v>
      </c>
      <c r="C4" s="1" t="s">
        <v>40</v>
      </c>
      <c r="D4" s="2">
        <v>0.65</v>
      </c>
      <c r="E4" s="2">
        <v>0.55000000000000004</v>
      </c>
      <c r="F4" s="2">
        <v>0.85</v>
      </c>
      <c r="G4" s="2">
        <v>0.3</v>
      </c>
      <c r="H4" s="2">
        <v>0.75</v>
      </c>
      <c r="I4" s="2">
        <f t="shared" ref="I4:I19" si="0">MAX(E4:H4)</f>
        <v>0.85</v>
      </c>
      <c r="J4" s="2">
        <f t="shared" ref="J4:J19" si="1">D4*I4</f>
        <v>0.55249999999999999</v>
      </c>
      <c r="K4" s="1" t="s">
        <v>44</v>
      </c>
      <c r="L4" s="3">
        <f t="shared" ref="L4:L19" si="2">IF(J4&lt;0.3,IF(K4="Очень скоро",3,4),IF(J4&lt;0.5,IF(K4="Очень нескоро",4,3),IF(J4&lt;0.7,IF(K4="Очень нескоро",3,2),IF(J4&lt;0.9,IF(K4="Очень скоро",1,2),1))))</f>
        <v>2</v>
      </c>
      <c r="M4" s="1" t="s">
        <v>52</v>
      </c>
    </row>
    <row r="5" spans="1:13" ht="31.5">
      <c r="A5" s="1" t="s">
        <v>9</v>
      </c>
      <c r="B5" s="1" t="s">
        <v>10</v>
      </c>
      <c r="C5" s="1" t="s">
        <v>41</v>
      </c>
      <c r="D5" s="2">
        <v>0.75</v>
      </c>
      <c r="E5" s="2">
        <v>0.55000000000000004</v>
      </c>
      <c r="F5" s="2">
        <v>0.75</v>
      </c>
      <c r="G5" s="2">
        <v>0.75</v>
      </c>
      <c r="H5" s="2">
        <v>0.9</v>
      </c>
      <c r="I5" s="2">
        <f t="shared" si="0"/>
        <v>0.9</v>
      </c>
      <c r="J5" s="2">
        <f t="shared" si="1"/>
        <v>0.67500000000000004</v>
      </c>
      <c r="K5" s="1" t="s">
        <v>44</v>
      </c>
      <c r="L5" s="3">
        <f t="shared" si="2"/>
        <v>2</v>
      </c>
      <c r="M5" s="1" t="s">
        <v>52</v>
      </c>
    </row>
    <row r="6" spans="1:13" ht="31.5">
      <c r="A6" s="1" t="s">
        <v>11</v>
      </c>
      <c r="B6" s="1" t="s">
        <v>12</v>
      </c>
      <c r="C6" s="1" t="s">
        <v>40</v>
      </c>
      <c r="D6" s="2">
        <v>0.7</v>
      </c>
      <c r="E6" s="2">
        <v>0.3</v>
      </c>
      <c r="F6" s="2">
        <v>0.8</v>
      </c>
      <c r="G6" s="2">
        <v>0.55000000000000004</v>
      </c>
      <c r="H6" s="2">
        <v>0.8</v>
      </c>
      <c r="I6" s="2">
        <f t="shared" si="0"/>
        <v>0.8</v>
      </c>
      <c r="J6" s="2">
        <f t="shared" si="1"/>
        <v>0.55999999999999994</v>
      </c>
      <c r="K6" s="1" t="s">
        <v>44</v>
      </c>
      <c r="L6" s="3">
        <f t="shared" si="2"/>
        <v>2</v>
      </c>
      <c r="M6" s="1" t="s">
        <v>52</v>
      </c>
    </row>
    <row r="7" spans="1:13" ht="31.5">
      <c r="A7" s="1" t="s">
        <v>13</v>
      </c>
      <c r="B7" s="1" t="s">
        <v>14</v>
      </c>
      <c r="C7" s="1" t="s">
        <v>40</v>
      </c>
      <c r="D7" s="2">
        <v>0.6</v>
      </c>
      <c r="E7" s="2"/>
      <c r="F7" s="2">
        <v>0.3</v>
      </c>
      <c r="G7" s="2">
        <v>0.55000000000000004</v>
      </c>
      <c r="H7" s="2">
        <v>0.6</v>
      </c>
      <c r="I7" s="2">
        <f t="shared" si="0"/>
        <v>0.6</v>
      </c>
      <c r="J7" s="2">
        <f t="shared" si="1"/>
        <v>0.36</v>
      </c>
      <c r="K7" s="1" t="s">
        <v>44</v>
      </c>
      <c r="L7" s="3">
        <f t="shared" si="2"/>
        <v>3</v>
      </c>
      <c r="M7" s="1" t="s">
        <v>52</v>
      </c>
    </row>
    <row r="8" spans="1:13" ht="15.75">
      <c r="A8" s="1" t="s">
        <v>15</v>
      </c>
      <c r="B8" s="1" t="s">
        <v>16</v>
      </c>
      <c r="C8" s="1" t="s">
        <v>40</v>
      </c>
      <c r="D8" s="2">
        <v>0.55000000000000004</v>
      </c>
      <c r="E8" s="2">
        <v>0.55000000000000004</v>
      </c>
      <c r="F8" s="2">
        <v>0.6</v>
      </c>
      <c r="G8" s="2"/>
      <c r="H8" s="2">
        <v>0.3</v>
      </c>
      <c r="I8" s="2">
        <f t="shared" si="0"/>
        <v>0.6</v>
      </c>
      <c r="J8" s="2">
        <f t="shared" si="1"/>
        <v>0.33</v>
      </c>
      <c r="K8" s="1" t="s">
        <v>43</v>
      </c>
      <c r="L8" s="3">
        <f t="shared" si="2"/>
        <v>3</v>
      </c>
      <c r="M8" s="1" t="s">
        <v>53</v>
      </c>
    </row>
    <row r="9" spans="1:13" ht="31.5">
      <c r="A9" s="1" t="s">
        <v>17</v>
      </c>
      <c r="B9" s="1" t="s">
        <v>18</v>
      </c>
      <c r="C9" s="1" t="s">
        <v>41</v>
      </c>
      <c r="D9" s="2">
        <v>0.8</v>
      </c>
      <c r="E9" s="2">
        <v>0.75</v>
      </c>
      <c r="F9" s="2">
        <v>0.85</v>
      </c>
      <c r="G9" s="2">
        <v>0.75</v>
      </c>
      <c r="H9" s="2">
        <v>0.9</v>
      </c>
      <c r="I9" s="2">
        <f t="shared" si="0"/>
        <v>0.9</v>
      </c>
      <c r="J9" s="2">
        <f t="shared" si="1"/>
        <v>0.72000000000000008</v>
      </c>
      <c r="K9" s="1" t="s">
        <v>44</v>
      </c>
      <c r="L9" s="3">
        <f t="shared" si="2"/>
        <v>1</v>
      </c>
      <c r="M9" s="1" t="s">
        <v>52</v>
      </c>
    </row>
    <row r="10" spans="1:13" ht="31.5">
      <c r="A10" s="1" t="s">
        <v>19</v>
      </c>
      <c r="B10" s="1" t="s">
        <v>20</v>
      </c>
      <c r="C10" s="1" t="s">
        <v>40</v>
      </c>
      <c r="D10" s="2">
        <v>0.6</v>
      </c>
      <c r="E10" s="2">
        <v>0.75</v>
      </c>
      <c r="F10" s="2">
        <v>0.55000000000000004</v>
      </c>
      <c r="G10" s="2"/>
      <c r="H10" s="2">
        <v>0.55000000000000004</v>
      </c>
      <c r="I10" s="2">
        <f t="shared" si="0"/>
        <v>0.75</v>
      </c>
      <c r="J10" s="2">
        <f t="shared" si="1"/>
        <v>0.44999999999999996</v>
      </c>
      <c r="K10" s="1" t="s">
        <v>43</v>
      </c>
      <c r="L10" s="3">
        <f t="shared" si="2"/>
        <v>3</v>
      </c>
      <c r="M10" s="1" t="s">
        <v>52</v>
      </c>
    </row>
    <row r="11" spans="1:13" ht="31.5">
      <c r="A11" s="1" t="s">
        <v>21</v>
      </c>
      <c r="B11" s="1" t="s">
        <v>22</v>
      </c>
      <c r="C11" s="1" t="s">
        <v>40</v>
      </c>
      <c r="D11" s="2">
        <v>0.7</v>
      </c>
      <c r="E11" s="2">
        <v>0.55000000000000004</v>
      </c>
      <c r="F11" s="2">
        <v>0.75</v>
      </c>
      <c r="G11" s="2">
        <v>0.55000000000000004</v>
      </c>
      <c r="H11" s="2">
        <v>0.55000000000000004</v>
      </c>
      <c r="I11" s="2">
        <f t="shared" si="0"/>
        <v>0.75</v>
      </c>
      <c r="J11" s="2">
        <f t="shared" si="1"/>
        <v>0.52499999999999991</v>
      </c>
      <c r="K11" s="1" t="s">
        <v>43</v>
      </c>
      <c r="L11" s="3">
        <f t="shared" si="2"/>
        <v>2</v>
      </c>
      <c r="M11" s="1" t="s">
        <v>52</v>
      </c>
    </row>
    <row r="12" spans="1:13" ht="31.5">
      <c r="A12" s="1" t="s">
        <v>23</v>
      </c>
      <c r="B12" s="1" t="s">
        <v>24</v>
      </c>
      <c r="C12" s="1" t="s">
        <v>40</v>
      </c>
      <c r="D12" s="2">
        <v>0.55000000000000004</v>
      </c>
      <c r="E12" s="2">
        <v>0.3</v>
      </c>
      <c r="F12" s="2">
        <v>0.55000000000000004</v>
      </c>
      <c r="G12" s="2">
        <v>0.3</v>
      </c>
      <c r="H12" s="2"/>
      <c r="I12" s="2">
        <f t="shared" si="0"/>
        <v>0.55000000000000004</v>
      </c>
      <c r="J12" s="2">
        <f t="shared" si="1"/>
        <v>0.30250000000000005</v>
      </c>
      <c r="K12" s="1" t="s">
        <v>43</v>
      </c>
      <c r="L12" s="3">
        <f t="shared" si="2"/>
        <v>3</v>
      </c>
      <c r="M12" s="1" t="s">
        <v>52</v>
      </c>
    </row>
    <row r="13" spans="1:13" ht="31.5">
      <c r="A13" s="1" t="s">
        <v>25</v>
      </c>
      <c r="B13" s="1" t="s">
        <v>26</v>
      </c>
      <c r="C13" s="1" t="s">
        <v>41</v>
      </c>
      <c r="D13" s="2">
        <v>0.75</v>
      </c>
      <c r="E13" s="2">
        <v>0.55000000000000004</v>
      </c>
      <c r="F13" s="2">
        <v>0.75</v>
      </c>
      <c r="G13" s="2">
        <v>0.55000000000000004</v>
      </c>
      <c r="H13" s="2">
        <v>0.9</v>
      </c>
      <c r="I13" s="2">
        <f t="shared" si="0"/>
        <v>0.9</v>
      </c>
      <c r="J13" s="2">
        <f t="shared" si="1"/>
        <v>0.67500000000000004</v>
      </c>
      <c r="K13" s="1" t="s">
        <v>43</v>
      </c>
      <c r="L13" s="3">
        <f t="shared" si="2"/>
        <v>2</v>
      </c>
      <c r="M13" s="1" t="s">
        <v>52</v>
      </c>
    </row>
    <row r="14" spans="1:13" ht="31.5">
      <c r="A14" s="1" t="s">
        <v>27</v>
      </c>
      <c r="B14" s="1" t="s">
        <v>28</v>
      </c>
      <c r="C14" s="1" t="s">
        <v>40</v>
      </c>
      <c r="D14" s="2">
        <v>0.65</v>
      </c>
      <c r="E14" s="2"/>
      <c r="F14" s="2">
        <v>0.55000000000000004</v>
      </c>
      <c r="G14" s="2">
        <v>0.75</v>
      </c>
      <c r="H14" s="2">
        <v>0.75</v>
      </c>
      <c r="I14" s="2">
        <f t="shared" si="0"/>
        <v>0.75</v>
      </c>
      <c r="J14" s="2">
        <f t="shared" si="1"/>
        <v>0.48750000000000004</v>
      </c>
      <c r="K14" s="1" t="s">
        <v>43</v>
      </c>
      <c r="L14" s="3">
        <f t="shared" si="2"/>
        <v>3</v>
      </c>
      <c r="M14" s="1" t="s">
        <v>52</v>
      </c>
    </row>
    <row r="15" spans="1:13" ht="31.5">
      <c r="A15" s="1" t="s">
        <v>29</v>
      </c>
      <c r="B15" s="1" t="s">
        <v>30</v>
      </c>
      <c r="C15" s="1" t="s">
        <v>39</v>
      </c>
      <c r="D15" s="2">
        <v>0.5</v>
      </c>
      <c r="E15" s="2">
        <v>0.55000000000000004</v>
      </c>
      <c r="F15" s="2">
        <v>0.55000000000000004</v>
      </c>
      <c r="G15" s="2"/>
      <c r="H15" s="2">
        <v>0.75</v>
      </c>
      <c r="I15" s="2">
        <f t="shared" si="0"/>
        <v>0.75</v>
      </c>
      <c r="J15" s="2">
        <f t="shared" si="1"/>
        <v>0.375</v>
      </c>
      <c r="K15" s="1" t="s">
        <v>43</v>
      </c>
      <c r="L15" s="3">
        <f t="shared" si="2"/>
        <v>3</v>
      </c>
      <c r="M15" s="1" t="s">
        <v>54</v>
      </c>
    </row>
    <row r="16" spans="1:13" ht="31.5">
      <c r="A16" s="1" t="s">
        <v>31</v>
      </c>
      <c r="B16" s="1" t="s">
        <v>32</v>
      </c>
      <c r="C16" s="1" t="s">
        <v>40</v>
      </c>
      <c r="D16" s="2">
        <v>0.55000000000000004</v>
      </c>
      <c r="E16" s="2">
        <v>0.55000000000000004</v>
      </c>
      <c r="F16" s="2">
        <v>0.8</v>
      </c>
      <c r="G16" s="2">
        <v>0.55000000000000004</v>
      </c>
      <c r="H16" s="2">
        <v>0.8</v>
      </c>
      <c r="I16" s="2">
        <f t="shared" si="0"/>
        <v>0.8</v>
      </c>
      <c r="J16" s="2">
        <f t="shared" si="1"/>
        <v>0.44000000000000006</v>
      </c>
      <c r="K16" s="1" t="s">
        <v>42</v>
      </c>
      <c r="L16" s="3">
        <f t="shared" si="2"/>
        <v>4</v>
      </c>
      <c r="M16" s="1" t="s">
        <v>52</v>
      </c>
    </row>
    <row r="17" spans="1:13" ht="31.5">
      <c r="A17" s="1" t="s">
        <v>33</v>
      </c>
      <c r="B17" s="1" t="s">
        <v>34</v>
      </c>
      <c r="C17" s="1" t="s">
        <v>40</v>
      </c>
      <c r="D17" s="2">
        <v>0.65</v>
      </c>
      <c r="E17" s="2">
        <v>0.55000000000000004</v>
      </c>
      <c r="F17" s="2">
        <v>0.75</v>
      </c>
      <c r="G17" s="2">
        <v>0.75</v>
      </c>
      <c r="H17" s="2">
        <v>0.55000000000000004</v>
      </c>
      <c r="I17" s="2">
        <f t="shared" si="0"/>
        <v>0.75</v>
      </c>
      <c r="J17" s="2">
        <f t="shared" si="1"/>
        <v>0.48750000000000004</v>
      </c>
      <c r="K17" s="1" t="s">
        <v>42</v>
      </c>
      <c r="L17" s="3">
        <f t="shared" si="2"/>
        <v>4</v>
      </c>
      <c r="M17" s="1" t="s">
        <v>52</v>
      </c>
    </row>
    <row r="18" spans="1:13" ht="31.5">
      <c r="A18" s="1" t="s">
        <v>35</v>
      </c>
      <c r="B18" s="1" t="s">
        <v>36</v>
      </c>
      <c r="C18" s="1" t="s">
        <v>40</v>
      </c>
      <c r="D18" s="2">
        <v>0.7</v>
      </c>
      <c r="E18" s="2">
        <v>0.55000000000000004</v>
      </c>
      <c r="F18" s="2"/>
      <c r="G18" s="2">
        <v>0.55000000000000004</v>
      </c>
      <c r="H18" s="2">
        <v>0.9</v>
      </c>
      <c r="I18" s="2">
        <f t="shared" si="0"/>
        <v>0.9</v>
      </c>
      <c r="J18" s="2">
        <f t="shared" si="1"/>
        <v>0.63</v>
      </c>
      <c r="K18" s="1" t="s">
        <v>42</v>
      </c>
      <c r="L18" s="3">
        <f t="shared" si="2"/>
        <v>3</v>
      </c>
      <c r="M18" s="1" t="s">
        <v>52</v>
      </c>
    </row>
    <row r="19" spans="1:13" ht="31.5">
      <c r="A19" s="1" t="s">
        <v>37</v>
      </c>
      <c r="B19" s="1" t="s">
        <v>38</v>
      </c>
      <c r="C19" s="1" t="s">
        <v>40</v>
      </c>
      <c r="D19" s="2">
        <v>0.6</v>
      </c>
      <c r="E19" s="2"/>
      <c r="F19" s="2">
        <v>0.3</v>
      </c>
      <c r="G19" s="2">
        <v>0.75</v>
      </c>
      <c r="H19" s="2">
        <v>0.55000000000000004</v>
      </c>
      <c r="I19" s="2">
        <f t="shared" si="0"/>
        <v>0.75</v>
      </c>
      <c r="J19" s="2">
        <f t="shared" si="1"/>
        <v>0.44999999999999996</v>
      </c>
      <c r="K19" s="1" t="s">
        <v>42</v>
      </c>
      <c r="L19" s="3">
        <f t="shared" si="2"/>
        <v>4</v>
      </c>
      <c r="M19" s="1" t="s">
        <v>52</v>
      </c>
    </row>
  </sheetData>
  <mergeCells count="1">
    <mergeCell ref="A1:M1"/>
  </mergeCells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Оценки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Чемоданов Семен Дмитриевич</cp:lastModifiedBy>
  <dcterms:modified xsi:type="dcterms:W3CDTF">2026-06-11T01:53:38Z</dcterms:modified>
</cp:coreProperties>
</file>