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ритерии оценки перспективности" sheetId="1" r:id="rId4"/>
    <sheet state="visible" name="Контур.Supply&amp;Trade" sheetId="2" r:id="rId5"/>
    <sheet state="visible" name="АСУ ТПИТ и промышленной безопас" sheetId="3" r:id="rId6"/>
    <sheet state="visible" name="IT-Контур LNG Chain Optimizer" sheetId="4" r:id="rId7"/>
    <sheet state="visible" name="IT-Контур Мониторинг рабочего в" sheetId="5" r:id="rId8"/>
    <sheet state="visible" name="Результаты оценки концепций" sheetId="6" r:id="rId9"/>
    <sheet state="visible" name="Оценка перспективности концепци" sheetId="7" r:id="rId10"/>
    <sheet state="hidden" name="Sheet1 (3)" sheetId="8" r:id="rId11"/>
  </sheets>
  <definedNames/>
  <calcPr/>
  <extLst>
    <ext uri="GoogleSheetsCustomDataVersion2">
      <go:sheetsCustomData xmlns:go="http://customooxmlschemas.google.com/" r:id="rId12" roundtripDataChecksum="AMrnt+1JD+El/g4W5+Lf+5XBeozPzvbNyGoAOh9Io0o="/>
    </ext>
  </extLst>
</workbook>
</file>

<file path=xl/sharedStrings.xml><?xml version="1.0" encoding="utf-8"?>
<sst xmlns="http://schemas.openxmlformats.org/spreadsheetml/2006/main" count="174" uniqueCount="51">
  <si>
    <t>Наименование критерия</t>
  </si>
  <si>
    <t>Смысловое содержание критерия</t>
  </si>
  <si>
    <t>Вес (коэффициент относительной важности)</t>
  </si>
  <si>
    <t>1. Практическая востребованность</t>
  </si>
  <si>
    <t xml:space="preserve">Оценивает наличие реальной потребности рынка в данном продукте: решает ли платформа актуальные проблемы бизнеса </t>
  </si>
  <si>
    <t>2. Обозримость</t>
  </si>
  <si>
    <t>Оценивает понятность концепции для стейкхолдеров (инвесторов, разработчиков, клиентов): насколько прозрачны цели проекта, ясны ли этапы развития, можно ли легко описать ценность продукта "на пальцах".</t>
  </si>
  <si>
    <t>3. Эффективность</t>
  </si>
  <si>
    <t>Оценивает ожидаемую результативность работы платформы: насколько точными будут прогнозы по сравнению с текущими методами, какое сокращение издержек или рост продаж она обеспечит, какова скорость обработки данных.</t>
  </si>
  <si>
    <t>4. Коммерческая привлекательность</t>
  </si>
  <si>
    <t>Оценивает потенциал продукта приносить прибыль: маржинальность, модель монетизации (подписка, лицензия), объем рынка (TAM), конкурентоспособность и срок окупаемости разработки.</t>
  </si>
  <si>
    <t>5. Реализуемость</t>
  </si>
  <si>
    <t>Оценивает техническую и организационную выполнимость проекта: наличие необходимых технологий и компетенций, сложность интеграции с существующими системами (1С, SAP, CRM), доступность данных для обучения моделей, бюджет и сроки разработки.</t>
  </si>
  <si>
    <t xml:space="preserve">Контур.Supply&amp;Trade
</t>
  </si>
  <si>
    <t>Аникаев В. Д.</t>
  </si>
  <si>
    <t>Полухин.Д.А</t>
  </si>
  <si>
    <t>Чемоданов.С.Д</t>
  </si>
  <si>
    <t>Андреев.Д.П</t>
  </si>
  <si>
    <t>Гурулёв.А.В</t>
  </si>
  <si>
    <t>Ср.зн.</t>
  </si>
  <si>
    <t>Ср.кв.откл.</t>
  </si>
  <si>
    <t>Коэф.вар.</t>
  </si>
  <si>
    <t>Вес критерия</t>
  </si>
  <si>
    <t>практическая востребованность</t>
  </si>
  <si>
    <t>обозримость</t>
  </si>
  <si>
    <t>эффективность</t>
  </si>
  <si>
    <t>коммерческая привлекательность</t>
  </si>
  <si>
    <t>реализуемость</t>
  </si>
  <si>
    <t>Взвешенная оценка</t>
  </si>
  <si>
    <t>!Сумма весов равна 1</t>
  </si>
  <si>
    <t>Интегральная оценка</t>
  </si>
  <si>
    <t xml:space="preserve">АСУ ТП/ИТ и промышленной безопасности
</t>
  </si>
  <si>
    <t>IT-Контур LNG Chain Optimizer</t>
  </si>
  <si>
    <t xml:space="preserve">IT-Контур: Мониторинг рабочего времени
</t>
  </si>
  <si>
    <t xml:space="preserve">Концепция </t>
  </si>
  <si>
    <t xml:space="preserve">Количественная интегральная оценка </t>
  </si>
  <si>
    <t>Качественная оценка</t>
  </si>
  <si>
    <t xml:space="preserve">Связка производства, логистики и трейдинга в одном ИИ‑контуре 
</t>
  </si>
  <si>
    <t>Высокая</t>
  </si>
  <si>
    <t>Система мониторинга учета рабочего времени на предприятии</t>
  </si>
  <si>
    <t>Умеренная</t>
  </si>
  <si>
    <t>Оптимизация цепочки сжижения, хранения и отгрузки</t>
  </si>
  <si>
    <t>Заметная</t>
  </si>
  <si>
    <t>Платформа прогнозирования спроса и управления продажами</t>
  </si>
  <si>
    <t xml:space="preserve">Наименования критериев </t>
  </si>
  <si>
    <t>Концепция 2</t>
  </si>
  <si>
    <t>Эксперт 1</t>
  </si>
  <si>
    <t>Эксперт 2</t>
  </si>
  <si>
    <t>Эксперт 3</t>
  </si>
  <si>
    <t>Эксперт 4</t>
  </si>
  <si>
    <t>Эксперт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</si>
</sst>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Calibri"/>
      <scheme val="minor"/>
    </font>
    <font>
      <b/>
      <sz val="11.0"/>
      <color theme="1"/>
      <name val="Arial"/>
    </font>
    <font>
      <i/>
      <sz val="11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i/>
      <sz val="10.0"/>
      <color theme="1"/>
      <name val="Arial"/>
    </font>
    <font>
      <b/>
      <sz val="10.0"/>
      <color theme="1"/>
      <name val="Arial"/>
    </font>
    <font>
      <sz val="9.0"/>
      <color rgb="FF0F1115"/>
      <name val="Quattrocento Sans"/>
    </font>
    <font>
      <b/>
      <sz val="10.0"/>
      <color rgb="FF000000"/>
      <name val="Arial"/>
    </font>
    <font>
      <i/>
      <sz val="10.0"/>
      <color rgb="FF000000"/>
      <name val="Arial"/>
    </font>
    <font>
      <b/>
      <u/>
      <sz val="14.0"/>
      <color theme="1"/>
      <name val="Arial"/>
    </font>
    <font/>
    <font>
      <b/>
      <sz val="12.0"/>
      <color rgb="FF000000"/>
      <name val="Arial"/>
    </font>
    <font>
      <sz val="12.0"/>
      <color theme="1"/>
      <name val="Arial"/>
    </font>
    <font>
      <i/>
      <sz val="12.0"/>
      <color rgb="FF000000"/>
      <name val="Arial"/>
    </font>
    <font>
      <b/>
      <u/>
      <sz val="14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00"/>
        <bgColor rgb="FFFFF200"/>
      </patternFill>
    </fill>
    <fill>
      <patternFill patternType="solid">
        <fgColor rgb="FFADC5E7"/>
        <bgColor rgb="FFADC5E7"/>
      </patternFill>
    </fill>
    <fill>
      <patternFill patternType="solid">
        <fgColor rgb="FFFCC79B"/>
        <bgColor rgb="FFFCC79B"/>
      </patternFill>
    </fill>
    <fill>
      <patternFill patternType="solid">
        <fgColor rgb="FFC2E0AE"/>
        <bgColor rgb="FFC2E0AE"/>
      </patternFill>
    </fill>
    <fill>
      <patternFill patternType="solid">
        <fgColor rgb="FFFFFFFF"/>
        <bgColor rgb="FFFFFFFF"/>
      </patternFill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/>
    </xf>
    <xf borderId="0" fillId="0" fontId="4" numFmtId="0" xfId="0" applyFont="1"/>
    <xf borderId="1" fillId="3" fontId="5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shrinkToFit="0" wrapText="1"/>
    </xf>
    <xf borderId="1" fillId="4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/>
    </xf>
    <xf borderId="2" fillId="5" fontId="3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2" fillId="6" fontId="6" numFmtId="0" xfId="0" applyBorder="1" applyFill="1" applyFont="1"/>
    <xf borderId="2" fillId="6" fontId="6" numFmtId="0" xfId="0" applyAlignment="1" applyBorder="1" applyFont="1">
      <alignment horizontal="center"/>
    </xf>
    <xf borderId="0" fillId="0" fontId="6" numFmtId="0" xfId="0" applyFont="1"/>
    <xf borderId="2" fillId="7" fontId="7" numFmtId="0" xfId="0" applyAlignment="1" applyBorder="1" applyFill="1" applyFont="1">
      <alignment horizontal="left" shrinkToFit="0" vertical="center" wrapText="1"/>
    </xf>
    <xf borderId="2" fillId="7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vertical="center"/>
    </xf>
    <xf borderId="4" fillId="0" fontId="11" numFmtId="0" xfId="0" applyBorder="1" applyFont="1"/>
    <xf borderId="5" fillId="0" fontId="11" numFmtId="0" xfId="0" applyBorder="1" applyFont="1"/>
    <xf borderId="6" fillId="0" fontId="12" numFmtId="0" xfId="0" applyAlignment="1" applyBorder="1" applyFont="1">
      <alignment vertical="center"/>
    </xf>
    <xf borderId="7" fillId="0" fontId="12" numFmtId="0" xfId="0" applyAlignment="1" applyBorder="1" applyFont="1">
      <alignment horizontal="center" shrinkToFit="0" vertical="center" wrapText="1"/>
    </xf>
    <xf borderId="8" fillId="0" fontId="11" numFmtId="0" xfId="0" applyBorder="1" applyFont="1"/>
    <xf borderId="9" fillId="0" fontId="11" numFmtId="0" xfId="0" applyBorder="1" applyFont="1"/>
    <xf borderId="0" fillId="0" fontId="3" numFmtId="0" xfId="0" applyFont="1"/>
    <xf borderId="1" fillId="0" fontId="13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6" fillId="0" fontId="14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/>
    </xf>
    <xf borderId="11" fillId="0" fontId="14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/>
    </xf>
    <xf borderId="0" fillId="0" fontId="15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1" fillId="3" fontId="3" numFmtId="0" xfId="0" applyBorder="1" applyFont="1"/>
    <xf borderId="1" fillId="4" fontId="3" numFmtId="0" xfId="0" applyBorder="1" applyFont="1"/>
    <xf borderId="2" fillId="5" fontId="3" numFmtId="0" xfId="0" applyBorder="1" applyFont="1"/>
    <xf borderId="1" fillId="4" fontId="3" numFmtId="2" xfId="0" applyBorder="1" applyFont="1" applyNumberFormat="1"/>
    <xf borderId="1" fillId="3" fontId="3" numFmtId="2" xfId="0" applyBorder="1" applyFont="1" applyNumberFormat="1"/>
    <xf borderId="2" fillId="3" fontId="3" numFmtId="0" xfId="0" applyBorder="1" applyFont="1"/>
    <xf borderId="2" fillId="6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6</xdr:row>
      <xdr:rowOff>0</xdr:rowOff>
    </xdr:from>
    <xdr:ext cx="4552950" cy="1047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80.14"/>
    <col customWidth="1" min="3" max="3" width="20.86"/>
    <col customWidth="1" min="4" max="26" width="9.0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2" t="s">
        <v>3</v>
      </c>
      <c r="B2" s="3" t="s">
        <v>4</v>
      </c>
      <c r="C2" s="3">
        <v>0.2</v>
      </c>
      <c r="D2" s="4"/>
    </row>
    <row r="3" ht="12.75" customHeight="1">
      <c r="A3" s="2" t="s">
        <v>5</v>
      </c>
      <c r="B3" s="3" t="s">
        <v>6</v>
      </c>
      <c r="C3" s="3">
        <v>0.1</v>
      </c>
      <c r="D3" s="4"/>
    </row>
    <row r="4" ht="12.75" customHeight="1">
      <c r="A4" s="2" t="s">
        <v>7</v>
      </c>
      <c r="B4" s="3" t="s">
        <v>8</v>
      </c>
      <c r="C4" s="3">
        <v>0.3</v>
      </c>
      <c r="D4" s="4"/>
    </row>
    <row r="5" ht="12.75" customHeight="1">
      <c r="A5" s="2" t="s">
        <v>9</v>
      </c>
      <c r="B5" s="3" t="s">
        <v>10</v>
      </c>
      <c r="C5" s="3">
        <v>0.3</v>
      </c>
      <c r="D5" s="4"/>
    </row>
    <row r="6" ht="12.75" customHeight="1">
      <c r="A6" s="2" t="s">
        <v>11</v>
      </c>
      <c r="B6" s="3" t="s">
        <v>12</v>
      </c>
      <c r="C6" s="3">
        <v>0.1</v>
      </c>
      <c r="D6" s="4"/>
    </row>
    <row r="7" ht="12.75" customHeight="1">
      <c r="C7" s="5">
        <f>SUM(C2:C6)</f>
        <v>1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86"/>
    <col customWidth="1" min="2" max="2" width="13.57"/>
    <col customWidth="1" min="3" max="3" width="11.57"/>
    <col customWidth="1" min="4" max="4" width="17.29"/>
    <col customWidth="1" min="5" max="5" width="16.29"/>
    <col customWidth="1" min="6" max="8" width="11.57"/>
    <col customWidth="1" min="9" max="9" width="23.43"/>
    <col customWidth="1" min="10" max="10" width="24.0"/>
    <col customWidth="1" min="11" max="26" width="11.57"/>
  </cols>
  <sheetData>
    <row r="1" ht="12.75" customHeight="1">
      <c r="A1" s="6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8" t="s">
        <v>19</v>
      </c>
      <c r="H1" s="8" t="s">
        <v>20</v>
      </c>
      <c r="I1" s="9" t="s">
        <v>21</v>
      </c>
      <c r="J1" s="10" t="s">
        <v>22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12" t="s">
        <v>23</v>
      </c>
      <c r="B2" s="13">
        <v>0.75</v>
      </c>
      <c r="C2" s="13">
        <v>0.7</v>
      </c>
      <c r="D2" s="13">
        <v>0.75</v>
      </c>
      <c r="E2" s="13">
        <v>0.78</v>
      </c>
      <c r="F2" s="13">
        <v>0.83</v>
      </c>
      <c r="G2" s="8">
        <f t="shared" ref="G2:G7" si="1">AVERAGE(B2:F2)</f>
        <v>0.762</v>
      </c>
      <c r="H2" s="8">
        <f t="shared" ref="H2:H7" si="2">STDEV(B2:F2)</f>
        <v>0.047644517</v>
      </c>
      <c r="I2" s="9">
        <f t="shared" ref="I2:I7" si="3">H2/G2*100</f>
        <v>6.252561286</v>
      </c>
      <c r="J2" s="10">
        <v>0.2</v>
      </c>
    </row>
    <row r="3" ht="12.75" customHeight="1">
      <c r="A3" s="12" t="s">
        <v>24</v>
      </c>
      <c r="B3" s="13">
        <v>0.55</v>
      </c>
      <c r="C3" s="13">
        <v>0.5</v>
      </c>
      <c r="D3" s="13">
        <v>0.58</v>
      </c>
      <c r="E3" s="13">
        <v>0.53</v>
      </c>
      <c r="F3" s="13">
        <v>0.68</v>
      </c>
      <c r="G3" s="8">
        <f t="shared" si="1"/>
        <v>0.568</v>
      </c>
      <c r="H3" s="8">
        <f t="shared" si="2"/>
        <v>0.0690651866</v>
      </c>
      <c r="I3" s="9">
        <f t="shared" si="3"/>
        <v>12.15936384</v>
      </c>
      <c r="J3" s="10">
        <v>0.1</v>
      </c>
    </row>
    <row r="4" ht="12.75" customHeight="1">
      <c r="A4" s="12" t="s">
        <v>25</v>
      </c>
      <c r="B4" s="13">
        <v>0.78</v>
      </c>
      <c r="C4" s="13">
        <v>0.73</v>
      </c>
      <c r="D4" s="13">
        <v>0.75</v>
      </c>
      <c r="E4" s="13">
        <v>0.78</v>
      </c>
      <c r="F4" s="13">
        <v>0.88</v>
      </c>
      <c r="G4" s="8">
        <f t="shared" si="1"/>
        <v>0.784</v>
      </c>
      <c r="H4" s="8">
        <f t="shared" si="2"/>
        <v>0.05770615219</v>
      </c>
      <c r="I4" s="9">
        <f t="shared" si="3"/>
        <v>7.360478595</v>
      </c>
      <c r="J4" s="10">
        <v>0.3</v>
      </c>
    </row>
    <row r="5" ht="12.75" customHeight="1">
      <c r="A5" s="12" t="s">
        <v>26</v>
      </c>
      <c r="B5" s="13">
        <v>0.7</v>
      </c>
      <c r="C5" s="13">
        <v>0.65</v>
      </c>
      <c r="D5" s="13">
        <v>0.68</v>
      </c>
      <c r="E5" s="13">
        <v>0.68</v>
      </c>
      <c r="F5" s="13">
        <v>0.83</v>
      </c>
      <c r="G5" s="8">
        <f t="shared" si="1"/>
        <v>0.708</v>
      </c>
      <c r="H5" s="8">
        <f t="shared" si="2"/>
        <v>0.07049822693</v>
      </c>
      <c r="I5" s="9">
        <f t="shared" si="3"/>
        <v>9.957376685</v>
      </c>
      <c r="J5" s="10">
        <v>0.3</v>
      </c>
    </row>
    <row r="6" ht="12.75" customHeight="1">
      <c r="A6" s="12" t="s">
        <v>27</v>
      </c>
      <c r="B6" s="13">
        <v>0.78</v>
      </c>
      <c r="C6" s="13">
        <v>0.73</v>
      </c>
      <c r="D6" s="13">
        <v>0.75</v>
      </c>
      <c r="E6" s="13">
        <v>0.83</v>
      </c>
      <c r="F6" s="13">
        <v>0.93</v>
      </c>
      <c r="G6" s="8">
        <f t="shared" si="1"/>
        <v>0.804</v>
      </c>
      <c r="H6" s="8">
        <f t="shared" si="2"/>
        <v>0.07987490219</v>
      </c>
      <c r="I6" s="9">
        <f t="shared" si="3"/>
        <v>9.934689327</v>
      </c>
      <c r="J6" s="10">
        <v>0.1</v>
      </c>
    </row>
    <row r="7" ht="12.75" customHeight="1">
      <c r="A7" s="12" t="s">
        <v>28</v>
      </c>
      <c r="B7" s="11">
        <f t="shared" ref="B7:F7" si="4">B2*$J2+B3*$J3+B4*$J4+B5*$J5+B6*$J6</f>
        <v>0.727</v>
      </c>
      <c r="C7" s="11">
        <f t="shared" si="4"/>
        <v>0.677</v>
      </c>
      <c r="D7" s="11">
        <f t="shared" si="4"/>
        <v>0.712</v>
      </c>
      <c r="E7" s="11">
        <f t="shared" si="4"/>
        <v>0.73</v>
      </c>
      <c r="F7" s="11">
        <f t="shared" si="4"/>
        <v>0.84</v>
      </c>
      <c r="G7" s="8">
        <f t="shared" si="1"/>
        <v>0.7372</v>
      </c>
      <c r="H7" s="8">
        <f t="shared" si="2"/>
        <v>0.06120212415</v>
      </c>
      <c r="I7" s="9">
        <f t="shared" si="3"/>
        <v>8.301970177</v>
      </c>
      <c r="J7" s="10" t="s">
        <v>29</v>
      </c>
    </row>
    <row r="8" ht="12.75" customHeight="1">
      <c r="A8" s="14" t="s">
        <v>30</v>
      </c>
      <c r="B8" s="15">
        <f>SUM(B7:F7)/5</f>
        <v>0.7372</v>
      </c>
    </row>
    <row r="9" ht="12.75" customHeight="1">
      <c r="B9" s="16"/>
    </row>
    <row r="10" ht="12.75" customHeight="1"/>
    <row r="11" ht="12.75" customHeight="1"/>
    <row r="12" ht="12.75" customHeight="1">
      <c r="A12" s="17"/>
      <c r="B12" s="17"/>
      <c r="C12" s="17"/>
      <c r="D12" s="17"/>
      <c r="E12" s="17"/>
      <c r="F12" s="17"/>
    </row>
    <row r="13" ht="12.75" customHeight="1">
      <c r="A13" s="17"/>
      <c r="B13" s="17"/>
      <c r="C13" s="17"/>
      <c r="D13" s="17"/>
      <c r="E13" s="17"/>
      <c r="F13" s="17"/>
    </row>
    <row r="14" ht="12.75" customHeight="1">
      <c r="A14" s="17"/>
      <c r="B14" s="17"/>
      <c r="C14" s="17"/>
      <c r="D14" s="17"/>
      <c r="E14" s="17"/>
      <c r="F14" s="17"/>
    </row>
    <row r="15" ht="12.75" customHeight="1">
      <c r="A15" s="17"/>
      <c r="B15" s="17"/>
      <c r="C15" s="17"/>
      <c r="D15" s="17"/>
      <c r="E15" s="17"/>
      <c r="F15" s="17"/>
    </row>
    <row r="16" ht="12.75" customHeight="1">
      <c r="A16" s="17"/>
      <c r="B16" s="17"/>
      <c r="C16" s="17"/>
      <c r="D16" s="17"/>
      <c r="E16" s="17"/>
      <c r="F16" s="17"/>
    </row>
    <row r="17" ht="12.75" customHeight="1">
      <c r="A17" s="17"/>
      <c r="B17" s="17"/>
      <c r="C17" s="17"/>
      <c r="D17" s="17"/>
      <c r="E17" s="17"/>
      <c r="F17" s="17"/>
    </row>
    <row r="18" ht="12.75" customHeight="1">
      <c r="A18" s="18"/>
      <c r="B18" s="18"/>
      <c r="C18" s="18"/>
      <c r="D18" s="18"/>
      <c r="E18" s="18"/>
      <c r="F18" s="18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86"/>
    <col customWidth="1" min="2" max="3" width="11.57"/>
    <col customWidth="1" min="4" max="4" width="16.29"/>
    <col customWidth="1" min="5" max="5" width="14.57"/>
    <col customWidth="1" min="6" max="8" width="11.57"/>
    <col customWidth="1" min="9" max="9" width="23.43"/>
    <col customWidth="1" min="10" max="10" width="24.0"/>
    <col customWidth="1" min="11" max="26" width="11.57"/>
  </cols>
  <sheetData>
    <row r="1" ht="12.75" customHeight="1">
      <c r="A1" s="6" t="s">
        <v>31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8" t="s">
        <v>19</v>
      </c>
      <c r="H1" s="8" t="s">
        <v>20</v>
      </c>
      <c r="I1" s="9" t="s">
        <v>21</v>
      </c>
      <c r="J1" s="10" t="s">
        <v>22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12" t="s">
        <v>23</v>
      </c>
      <c r="B2" s="13">
        <v>0.65</v>
      </c>
      <c r="C2" s="13">
        <v>0.6</v>
      </c>
      <c r="D2" s="13">
        <v>0.65</v>
      </c>
      <c r="E2" s="13">
        <v>0.68</v>
      </c>
      <c r="F2" s="13">
        <v>0.72</v>
      </c>
      <c r="G2" s="8">
        <f t="shared" ref="G2:G7" si="1">AVERAGE(B2:F2)</f>
        <v>0.66</v>
      </c>
      <c r="H2" s="8">
        <f t="shared" ref="H2:H7" si="2">STDEV(B2:F2)</f>
        <v>0.04415880433</v>
      </c>
      <c r="I2" s="9">
        <f t="shared" ref="I2:I7" si="3">H2/G2*100</f>
        <v>6.690727929</v>
      </c>
      <c r="J2" s="10">
        <v>0.2</v>
      </c>
    </row>
    <row r="3" ht="12.75" customHeight="1">
      <c r="A3" s="12" t="s">
        <v>24</v>
      </c>
      <c r="B3" s="13">
        <v>0.42</v>
      </c>
      <c r="C3" s="13">
        <v>0.38</v>
      </c>
      <c r="D3" s="13">
        <v>0.45</v>
      </c>
      <c r="E3" s="13">
        <v>0.42</v>
      </c>
      <c r="F3" s="13">
        <v>0.48</v>
      </c>
      <c r="G3" s="8">
        <f t="shared" si="1"/>
        <v>0.43</v>
      </c>
      <c r="H3" s="8">
        <f t="shared" si="2"/>
        <v>0.03741657387</v>
      </c>
      <c r="I3" s="9">
        <f t="shared" si="3"/>
        <v>8.701528806</v>
      </c>
      <c r="J3" s="10">
        <v>0.1</v>
      </c>
    </row>
    <row r="4" ht="12.75" customHeight="1">
      <c r="A4" s="12" t="s">
        <v>25</v>
      </c>
      <c r="B4" s="13">
        <v>0.68</v>
      </c>
      <c r="C4" s="13">
        <v>0.64</v>
      </c>
      <c r="D4" s="13">
        <v>0.65</v>
      </c>
      <c r="E4" s="13">
        <v>0.66</v>
      </c>
      <c r="F4" s="13">
        <v>0.77</v>
      </c>
      <c r="G4" s="8">
        <f t="shared" si="1"/>
        <v>0.68</v>
      </c>
      <c r="H4" s="8">
        <f t="shared" si="2"/>
        <v>0.05244044241</v>
      </c>
      <c r="I4" s="9">
        <f t="shared" si="3"/>
        <v>7.711829766</v>
      </c>
      <c r="J4" s="10">
        <v>0.3</v>
      </c>
    </row>
    <row r="5" ht="12.75" customHeight="1">
      <c r="A5" s="12" t="s">
        <v>26</v>
      </c>
      <c r="B5" s="13">
        <v>0.6</v>
      </c>
      <c r="C5" s="13">
        <v>0.56</v>
      </c>
      <c r="D5" s="13">
        <v>0.62</v>
      </c>
      <c r="E5" s="13">
        <v>0.6</v>
      </c>
      <c r="F5" s="13">
        <v>0.71</v>
      </c>
      <c r="G5" s="8">
        <f t="shared" si="1"/>
        <v>0.618</v>
      </c>
      <c r="H5" s="8">
        <f t="shared" si="2"/>
        <v>0.05585696018</v>
      </c>
      <c r="I5" s="9">
        <f t="shared" si="3"/>
        <v>9.03834307</v>
      </c>
      <c r="J5" s="10">
        <v>0.3</v>
      </c>
    </row>
    <row r="6" ht="12.75" customHeight="1">
      <c r="A6" s="12" t="s">
        <v>27</v>
      </c>
      <c r="B6" s="13">
        <v>0.66</v>
      </c>
      <c r="C6" s="13">
        <v>0.62</v>
      </c>
      <c r="D6" s="13">
        <v>0.65</v>
      </c>
      <c r="E6" s="13">
        <v>0.7</v>
      </c>
      <c r="F6" s="13">
        <v>0.8</v>
      </c>
      <c r="G6" s="8">
        <f t="shared" si="1"/>
        <v>0.686</v>
      </c>
      <c r="H6" s="8">
        <f t="shared" si="2"/>
        <v>0.06985699679</v>
      </c>
      <c r="I6" s="9">
        <f t="shared" si="3"/>
        <v>10.18323568</v>
      </c>
      <c r="J6" s="10">
        <v>0.1</v>
      </c>
    </row>
    <row r="7" ht="12.75" customHeight="1">
      <c r="A7" s="12" t="s">
        <v>28</v>
      </c>
      <c r="B7" s="11">
        <f t="shared" ref="B7:F7" si="4">B2*$J2+B3*$J3+B4*$J4+B5*$J5+B6*$J6</f>
        <v>0.622</v>
      </c>
      <c r="C7" s="11">
        <f t="shared" si="4"/>
        <v>0.58</v>
      </c>
      <c r="D7" s="11">
        <f t="shared" si="4"/>
        <v>0.621</v>
      </c>
      <c r="E7" s="11">
        <f t="shared" si="4"/>
        <v>0.626</v>
      </c>
      <c r="F7" s="11">
        <f t="shared" si="4"/>
        <v>0.716</v>
      </c>
      <c r="G7" s="8">
        <f t="shared" si="1"/>
        <v>0.633</v>
      </c>
      <c r="H7" s="8">
        <f t="shared" si="2"/>
        <v>0.05002999101</v>
      </c>
      <c r="I7" s="9">
        <f t="shared" si="3"/>
        <v>7.90363207</v>
      </c>
      <c r="J7" s="10" t="s">
        <v>29</v>
      </c>
    </row>
    <row r="8" ht="12.75" customHeight="1">
      <c r="A8" s="14" t="s">
        <v>30</v>
      </c>
      <c r="B8" s="15">
        <f>SUM(B7:F7)/5</f>
        <v>0.633</v>
      </c>
    </row>
    <row r="9" ht="12.75" customHeight="1">
      <c r="B9" s="16"/>
    </row>
    <row r="10" ht="12.75" customHeight="1"/>
    <row r="11" ht="12.75" customHeight="1"/>
    <row r="12" ht="12.75" customHeight="1">
      <c r="A12" s="17"/>
      <c r="B12" s="17"/>
      <c r="C12" s="17"/>
      <c r="D12" s="17"/>
      <c r="E12" s="17"/>
      <c r="F12" s="17"/>
    </row>
    <row r="13" ht="12.75" customHeight="1">
      <c r="A13" s="17"/>
      <c r="B13" s="17"/>
      <c r="C13" s="17"/>
      <c r="D13" s="17"/>
      <c r="E13" s="17"/>
      <c r="F13" s="17"/>
    </row>
    <row r="14" ht="12.75" customHeight="1">
      <c r="A14" s="17"/>
      <c r="B14" s="17"/>
      <c r="C14" s="17"/>
      <c r="D14" s="17"/>
      <c r="E14" s="17"/>
      <c r="F14" s="17"/>
    </row>
    <row r="15" ht="12.75" customHeight="1">
      <c r="A15" s="17"/>
      <c r="B15" s="17"/>
      <c r="C15" s="17"/>
      <c r="D15" s="17"/>
      <c r="E15" s="17"/>
      <c r="F15" s="17"/>
    </row>
    <row r="16" ht="12.75" customHeight="1">
      <c r="A16" s="17"/>
      <c r="B16" s="17"/>
      <c r="C16" s="17"/>
      <c r="D16" s="17"/>
      <c r="E16" s="17"/>
      <c r="F16" s="17"/>
    </row>
    <row r="17" ht="12.75" customHeight="1">
      <c r="A17" s="17"/>
      <c r="B17" s="17"/>
      <c r="C17" s="17"/>
      <c r="D17" s="17"/>
      <c r="E17" s="17"/>
      <c r="F17" s="17"/>
    </row>
    <row r="18" ht="12.75" customHeight="1">
      <c r="A18" s="18"/>
      <c r="B18" s="18"/>
      <c r="C18" s="18"/>
      <c r="D18" s="18"/>
      <c r="E18" s="18"/>
      <c r="F18" s="18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86"/>
    <col customWidth="1" min="2" max="3" width="11.57"/>
    <col customWidth="1" min="4" max="4" width="15.71"/>
    <col customWidth="1" min="5" max="5" width="15.14"/>
    <col customWidth="1" min="6" max="8" width="11.57"/>
    <col customWidth="1" min="9" max="9" width="23.43"/>
    <col customWidth="1" min="10" max="10" width="24.0"/>
    <col customWidth="1" min="11" max="26" width="11.57"/>
  </cols>
  <sheetData>
    <row r="1" ht="12.75" customHeight="1">
      <c r="A1" s="6" t="s">
        <v>32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8" t="s">
        <v>19</v>
      </c>
      <c r="H1" s="8" t="s">
        <v>20</v>
      </c>
      <c r="I1" s="9" t="s">
        <v>21</v>
      </c>
      <c r="J1" s="10" t="s">
        <v>22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12" t="s">
        <v>23</v>
      </c>
      <c r="B2" s="13">
        <v>0.5</v>
      </c>
      <c r="C2" s="13">
        <v>0.6</v>
      </c>
      <c r="D2" s="13">
        <v>0.6</v>
      </c>
      <c r="E2" s="13">
        <v>0.7</v>
      </c>
      <c r="F2" s="13">
        <v>0.6</v>
      </c>
      <c r="G2" s="8">
        <f t="shared" ref="G2:G7" si="1">AVERAGE(B2:F2)</f>
        <v>0.6</v>
      </c>
      <c r="H2" s="8">
        <f t="shared" ref="H2:H7" si="2">STDEV(B2:F2)</f>
        <v>0.07071067812</v>
      </c>
      <c r="I2" s="9">
        <f t="shared" ref="I2:I7" si="3">H2/G2*100</f>
        <v>11.78511302</v>
      </c>
      <c r="J2" s="10">
        <v>0.2</v>
      </c>
    </row>
    <row r="3" ht="12.75" customHeight="1">
      <c r="A3" s="12" t="s">
        <v>24</v>
      </c>
      <c r="B3" s="13">
        <v>0.3</v>
      </c>
      <c r="C3" s="13">
        <v>0.2</v>
      </c>
      <c r="D3" s="13">
        <v>0.3</v>
      </c>
      <c r="E3" s="13">
        <v>0.2</v>
      </c>
      <c r="F3" s="13">
        <v>0.2</v>
      </c>
      <c r="G3" s="8">
        <f t="shared" si="1"/>
        <v>0.24</v>
      </c>
      <c r="H3" s="8">
        <f t="shared" si="2"/>
        <v>0.05477225575</v>
      </c>
      <c r="I3" s="9">
        <f t="shared" si="3"/>
        <v>22.82177323</v>
      </c>
      <c r="J3" s="10">
        <v>0.1</v>
      </c>
    </row>
    <row r="4" ht="12.75" customHeight="1">
      <c r="A4" s="12" t="s">
        <v>25</v>
      </c>
      <c r="B4" s="13">
        <v>0.6</v>
      </c>
      <c r="C4" s="13">
        <v>0.6</v>
      </c>
      <c r="D4" s="13">
        <v>0.6</v>
      </c>
      <c r="E4" s="13">
        <v>0.6</v>
      </c>
      <c r="F4" s="13">
        <v>0.7</v>
      </c>
      <c r="G4" s="8">
        <f t="shared" si="1"/>
        <v>0.62</v>
      </c>
      <c r="H4" s="8">
        <f t="shared" si="2"/>
        <v>0.04472135955</v>
      </c>
      <c r="I4" s="9">
        <f t="shared" si="3"/>
        <v>7.213122508</v>
      </c>
      <c r="J4" s="10">
        <v>0.3</v>
      </c>
    </row>
    <row r="5" ht="12.75" customHeight="1">
      <c r="A5" s="12" t="s">
        <v>26</v>
      </c>
      <c r="B5" s="13">
        <v>0.5</v>
      </c>
      <c r="C5" s="13">
        <v>0.4</v>
      </c>
      <c r="D5" s="13">
        <v>0.5</v>
      </c>
      <c r="E5" s="13">
        <v>0.5</v>
      </c>
      <c r="F5" s="13">
        <v>0.8</v>
      </c>
      <c r="G5" s="8">
        <f t="shared" si="1"/>
        <v>0.54</v>
      </c>
      <c r="H5" s="8">
        <f t="shared" si="2"/>
        <v>0.1516575089</v>
      </c>
      <c r="I5" s="9">
        <f t="shared" si="3"/>
        <v>28.08472387</v>
      </c>
      <c r="J5" s="10">
        <v>0.3</v>
      </c>
    </row>
    <row r="6" ht="12.75" customHeight="1">
      <c r="A6" s="12" t="s">
        <v>27</v>
      </c>
      <c r="B6" s="13">
        <v>0.7</v>
      </c>
      <c r="C6" s="13">
        <v>0.5</v>
      </c>
      <c r="D6" s="13">
        <v>0.6</v>
      </c>
      <c r="E6" s="13">
        <v>0.7</v>
      </c>
      <c r="F6" s="13">
        <v>0.8</v>
      </c>
      <c r="G6" s="8">
        <f t="shared" si="1"/>
        <v>0.66</v>
      </c>
      <c r="H6" s="8">
        <f t="shared" si="2"/>
        <v>0.1140175425</v>
      </c>
      <c r="I6" s="9">
        <f t="shared" si="3"/>
        <v>17.27538523</v>
      </c>
      <c r="J6" s="10">
        <v>0.1</v>
      </c>
    </row>
    <row r="7" ht="12.75" customHeight="1">
      <c r="A7" s="12" t="s">
        <v>28</v>
      </c>
      <c r="B7" s="11">
        <f t="shared" ref="B7:F7" si="4">B2*$J2+B3*$J3+B4*$J4+B5*$J5+B6*$J6</f>
        <v>0.53</v>
      </c>
      <c r="C7" s="11">
        <f t="shared" si="4"/>
        <v>0.49</v>
      </c>
      <c r="D7" s="11">
        <f t="shared" si="4"/>
        <v>0.54</v>
      </c>
      <c r="E7" s="11">
        <f t="shared" si="4"/>
        <v>0.56</v>
      </c>
      <c r="F7" s="11">
        <f t="shared" si="4"/>
        <v>0.67</v>
      </c>
      <c r="G7" s="8">
        <f t="shared" si="1"/>
        <v>0.558</v>
      </c>
      <c r="H7" s="8">
        <f t="shared" si="2"/>
        <v>0.06760177512</v>
      </c>
      <c r="I7" s="9">
        <f t="shared" si="3"/>
        <v>12.11501346</v>
      </c>
      <c r="J7" s="10" t="s">
        <v>29</v>
      </c>
    </row>
    <row r="8" ht="12.75" customHeight="1">
      <c r="A8" s="14" t="s">
        <v>30</v>
      </c>
      <c r="B8" s="15">
        <f>SUM(B7:F7)/5</f>
        <v>0.558</v>
      </c>
    </row>
    <row r="9" ht="12.75" customHeight="1">
      <c r="B9" s="16"/>
    </row>
    <row r="10" ht="12.75" customHeight="1"/>
    <row r="11" ht="12.75" customHeight="1"/>
    <row r="12" ht="12.75" customHeight="1">
      <c r="A12" s="18"/>
      <c r="B12" s="18"/>
      <c r="C12" s="18"/>
      <c r="D12" s="18"/>
      <c r="E12" s="18"/>
      <c r="F12" s="18"/>
    </row>
    <row r="13" ht="12.75" customHeight="1">
      <c r="A13" s="18"/>
      <c r="B13" s="18"/>
      <c r="C13" s="18"/>
      <c r="D13" s="18"/>
      <c r="E13" s="18"/>
      <c r="F13" s="18"/>
    </row>
    <row r="14" ht="12.75" customHeight="1">
      <c r="A14" s="18"/>
      <c r="B14" s="18"/>
      <c r="C14" s="18"/>
      <c r="D14" s="18"/>
      <c r="E14" s="18"/>
      <c r="F14" s="18"/>
    </row>
    <row r="15" ht="12.75" customHeight="1">
      <c r="A15" s="18"/>
      <c r="B15" s="18"/>
      <c r="C15" s="18"/>
      <c r="D15" s="18"/>
      <c r="E15" s="18"/>
      <c r="F15" s="18"/>
    </row>
    <row r="16" ht="12.75" customHeight="1">
      <c r="A16" s="18"/>
      <c r="B16" s="18"/>
      <c r="C16" s="18"/>
      <c r="D16" s="18"/>
      <c r="E16" s="18"/>
      <c r="F16" s="18"/>
    </row>
    <row r="17" ht="12.75" customHeight="1">
      <c r="A17" s="18"/>
      <c r="B17" s="18"/>
      <c r="C17" s="18"/>
      <c r="D17" s="18"/>
      <c r="E17" s="18"/>
      <c r="F17" s="18"/>
    </row>
    <row r="18" ht="12.75" customHeight="1">
      <c r="A18" s="18"/>
      <c r="B18" s="18"/>
      <c r="C18" s="18"/>
      <c r="D18" s="18"/>
      <c r="E18" s="18"/>
      <c r="F18" s="18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86"/>
    <col customWidth="1" min="2" max="8" width="11.57"/>
    <col customWidth="1" min="9" max="9" width="23.43"/>
    <col customWidth="1" min="10" max="10" width="24.0"/>
    <col customWidth="1" min="11" max="26" width="11.57"/>
  </cols>
  <sheetData>
    <row r="1" ht="12.75" customHeight="1">
      <c r="A1" s="6" t="s">
        <v>33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8" t="s">
        <v>19</v>
      </c>
      <c r="H1" s="8" t="s">
        <v>20</v>
      </c>
      <c r="I1" s="9" t="s">
        <v>21</v>
      </c>
      <c r="J1" s="10" t="s">
        <v>22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12" t="s">
        <v>23</v>
      </c>
      <c r="B2" s="13">
        <v>0.36</v>
      </c>
      <c r="C2" s="13">
        <v>0.31</v>
      </c>
      <c r="D2" s="13">
        <v>0.41</v>
      </c>
      <c r="E2" s="13">
        <v>0.36</v>
      </c>
      <c r="F2" s="13">
        <v>0.41</v>
      </c>
      <c r="G2" s="8">
        <f t="shared" ref="G2:G7" si="1">AVERAGE(B2:F2)</f>
        <v>0.37</v>
      </c>
      <c r="H2" s="8">
        <f t="shared" ref="H2:H7" si="2">STDEV(B2:F2)</f>
        <v>0.04183300133</v>
      </c>
      <c r="I2" s="9">
        <f t="shared" ref="I2:I7" si="3">H2/G2*100</f>
        <v>11.30621657</v>
      </c>
      <c r="J2" s="10">
        <v>0.2</v>
      </c>
    </row>
    <row r="3" ht="12.75" customHeight="1">
      <c r="A3" s="12" t="s">
        <v>24</v>
      </c>
      <c r="B3" s="13">
        <v>0.16</v>
      </c>
      <c r="C3" s="13">
        <v>0.11</v>
      </c>
      <c r="D3" s="13">
        <v>0.21</v>
      </c>
      <c r="E3" s="13">
        <v>0.16</v>
      </c>
      <c r="F3" s="13">
        <v>0.21</v>
      </c>
      <c r="G3" s="8">
        <f t="shared" si="1"/>
        <v>0.17</v>
      </c>
      <c r="H3" s="8">
        <f t="shared" si="2"/>
        <v>0.04183300133</v>
      </c>
      <c r="I3" s="9">
        <f t="shared" si="3"/>
        <v>24.60764784</v>
      </c>
      <c r="J3" s="10">
        <v>0.1</v>
      </c>
    </row>
    <row r="4" ht="12.75" customHeight="1">
      <c r="A4" s="12" t="s">
        <v>25</v>
      </c>
      <c r="B4" s="13">
        <v>0.41</v>
      </c>
      <c r="C4" s="13">
        <v>0.36</v>
      </c>
      <c r="D4" s="13">
        <v>0.41</v>
      </c>
      <c r="E4" s="13">
        <v>0.36</v>
      </c>
      <c r="F4" s="13">
        <v>0.46</v>
      </c>
      <c r="G4" s="8">
        <f t="shared" si="1"/>
        <v>0.4</v>
      </c>
      <c r="H4" s="8">
        <f t="shared" si="2"/>
        <v>0.04183300133</v>
      </c>
      <c r="I4" s="9">
        <f t="shared" si="3"/>
        <v>10.45825033</v>
      </c>
      <c r="J4" s="10">
        <v>0.3</v>
      </c>
    </row>
    <row r="5" ht="12.75" customHeight="1">
      <c r="A5" s="12" t="s">
        <v>26</v>
      </c>
      <c r="B5" s="13">
        <v>0.31</v>
      </c>
      <c r="C5" s="13">
        <v>0.26</v>
      </c>
      <c r="D5" s="13">
        <v>0.36</v>
      </c>
      <c r="E5" s="13">
        <v>0.31</v>
      </c>
      <c r="F5" s="13">
        <v>0.36</v>
      </c>
      <c r="G5" s="8">
        <f t="shared" si="1"/>
        <v>0.32</v>
      </c>
      <c r="H5" s="8">
        <f t="shared" si="2"/>
        <v>0.04183300133</v>
      </c>
      <c r="I5" s="9">
        <f t="shared" si="3"/>
        <v>13.07281291</v>
      </c>
      <c r="J5" s="10">
        <v>0.3</v>
      </c>
    </row>
    <row r="6" ht="12.75" customHeight="1">
      <c r="A6" s="12" t="s">
        <v>27</v>
      </c>
      <c r="B6" s="13">
        <v>0.36</v>
      </c>
      <c r="C6" s="13">
        <v>0.31</v>
      </c>
      <c r="D6" s="13">
        <v>0.36</v>
      </c>
      <c r="E6" s="13">
        <v>0.41</v>
      </c>
      <c r="F6" s="13">
        <v>0.46</v>
      </c>
      <c r="G6" s="8">
        <f t="shared" si="1"/>
        <v>0.38</v>
      </c>
      <c r="H6" s="8">
        <f t="shared" si="2"/>
        <v>0.05700877125</v>
      </c>
      <c r="I6" s="9">
        <f t="shared" si="3"/>
        <v>15.00230822</v>
      </c>
      <c r="J6" s="10">
        <v>0.1</v>
      </c>
    </row>
    <row r="7" ht="12.75" customHeight="1">
      <c r="A7" s="12" t="s">
        <v>28</v>
      </c>
      <c r="B7" s="11">
        <f t="shared" ref="B7:F7" si="4">B2*$J2+B3*$J3+B4*$J4+B5*$J5+B6*$J6</f>
        <v>0.34</v>
      </c>
      <c r="C7" s="11">
        <f t="shared" si="4"/>
        <v>0.29</v>
      </c>
      <c r="D7" s="11">
        <f t="shared" si="4"/>
        <v>0.37</v>
      </c>
      <c r="E7" s="11">
        <f t="shared" si="4"/>
        <v>0.33</v>
      </c>
      <c r="F7" s="11">
        <f t="shared" si="4"/>
        <v>0.395</v>
      </c>
      <c r="G7" s="8">
        <f t="shared" si="1"/>
        <v>0.345</v>
      </c>
      <c r="H7" s="8">
        <f t="shared" si="2"/>
        <v>0.04</v>
      </c>
      <c r="I7" s="9">
        <f t="shared" si="3"/>
        <v>11.5942029</v>
      </c>
      <c r="J7" s="10" t="s">
        <v>29</v>
      </c>
    </row>
    <row r="8" ht="12.75" customHeight="1">
      <c r="A8" s="14" t="s">
        <v>30</v>
      </c>
      <c r="B8" s="15">
        <f>SUM(B7:F7)/5</f>
        <v>0.345</v>
      </c>
    </row>
    <row r="9" ht="12.75" customHeight="1">
      <c r="B9" s="16"/>
    </row>
    <row r="10" ht="12.75" customHeight="1"/>
    <row r="11" ht="12.75" customHeight="1"/>
    <row r="12" ht="12.75" customHeight="1">
      <c r="A12" s="17"/>
      <c r="B12" s="17"/>
      <c r="C12" s="17"/>
      <c r="D12" s="17"/>
      <c r="E12" s="17"/>
      <c r="F12" s="17"/>
    </row>
    <row r="13" ht="12.75" customHeight="1">
      <c r="A13" s="17"/>
      <c r="B13" s="17"/>
      <c r="C13" s="17"/>
      <c r="D13" s="17"/>
      <c r="E13" s="17"/>
      <c r="F13" s="17"/>
    </row>
    <row r="14" ht="12.75" customHeight="1">
      <c r="A14" s="17"/>
      <c r="B14" s="17"/>
      <c r="C14" s="17"/>
      <c r="D14" s="17"/>
      <c r="E14" s="17"/>
      <c r="F14" s="17"/>
    </row>
    <row r="15" ht="12.75" customHeight="1">
      <c r="A15" s="17"/>
      <c r="B15" s="17"/>
      <c r="C15" s="17"/>
      <c r="D15" s="17"/>
      <c r="E15" s="17"/>
      <c r="F15" s="17"/>
    </row>
    <row r="16" ht="12.75" customHeight="1">
      <c r="A16" s="17"/>
      <c r="B16" s="17"/>
      <c r="C16" s="17"/>
      <c r="D16" s="17"/>
      <c r="E16" s="17"/>
      <c r="F16" s="17"/>
    </row>
    <row r="17" ht="12.75" customHeight="1">
      <c r="A17" s="17"/>
      <c r="B17" s="17"/>
      <c r="C17" s="17"/>
      <c r="D17" s="17"/>
      <c r="E17" s="17"/>
      <c r="F17" s="17"/>
    </row>
    <row r="18" ht="12.75" customHeight="1">
      <c r="A18" s="18"/>
      <c r="B18" s="18"/>
      <c r="C18" s="18"/>
      <c r="D18" s="18"/>
      <c r="E18" s="18"/>
      <c r="F18" s="18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2" width="21.29"/>
    <col customWidth="1" min="3" max="3" width="22.29"/>
    <col customWidth="1" min="4" max="26" width="9.0"/>
  </cols>
  <sheetData>
    <row r="1" ht="12.75" customHeight="1">
      <c r="A1" s="19" t="s">
        <v>34</v>
      </c>
      <c r="B1" s="20" t="s">
        <v>35</v>
      </c>
      <c r="C1" s="20" t="s">
        <v>36</v>
      </c>
    </row>
    <row r="2" ht="12.75" customHeight="1">
      <c r="A2" s="21" t="s">
        <v>37</v>
      </c>
      <c r="B2" s="3">
        <v>0.7372</v>
      </c>
      <c r="C2" s="22" t="s">
        <v>38</v>
      </c>
    </row>
    <row r="3" ht="12.75" customHeight="1">
      <c r="A3" s="21" t="s">
        <v>39</v>
      </c>
      <c r="B3" s="3">
        <v>0.345</v>
      </c>
      <c r="C3" s="23" t="s">
        <v>40</v>
      </c>
    </row>
    <row r="4" ht="12.75" customHeight="1">
      <c r="A4" s="21" t="s">
        <v>41</v>
      </c>
      <c r="B4" s="3">
        <v>0.558</v>
      </c>
      <c r="C4" s="24" t="s">
        <v>42</v>
      </c>
    </row>
    <row r="5" ht="12.75" customHeight="1">
      <c r="A5" s="21" t="s">
        <v>43</v>
      </c>
      <c r="B5" s="3">
        <v>0.633</v>
      </c>
      <c r="C5" s="22" t="s">
        <v>38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29"/>
    <col customWidth="1" min="2" max="6" width="22.29"/>
    <col customWidth="1" min="7" max="26" width="8.71"/>
  </cols>
  <sheetData>
    <row r="1" ht="21.0" customHeight="1">
      <c r="A1" s="25" t="s">
        <v>14</v>
      </c>
      <c r="B1" s="26"/>
      <c r="C1" s="26"/>
      <c r="D1" s="26"/>
      <c r="E1" s="26"/>
      <c r="F1" s="27"/>
    </row>
    <row r="2" ht="12.75" customHeight="1">
      <c r="A2" s="28" t="s">
        <v>34</v>
      </c>
      <c r="B2" s="29" t="s">
        <v>44</v>
      </c>
      <c r="C2" s="30"/>
      <c r="D2" s="30"/>
      <c r="E2" s="30"/>
      <c r="F2" s="31"/>
      <c r="H2" s="32"/>
      <c r="I2" s="32"/>
      <c r="J2" s="32"/>
      <c r="K2" s="32"/>
      <c r="L2" s="32"/>
      <c r="M2" s="32"/>
      <c r="N2" s="32"/>
      <c r="O2" s="32"/>
    </row>
    <row r="3" ht="12.75" customHeight="1">
      <c r="A3" s="28"/>
      <c r="B3" s="33" t="s">
        <v>23</v>
      </c>
      <c r="C3" s="33" t="s">
        <v>24</v>
      </c>
      <c r="D3" s="33" t="s">
        <v>25</v>
      </c>
      <c r="E3" s="33" t="s">
        <v>26</v>
      </c>
      <c r="F3" s="34" t="s">
        <v>27</v>
      </c>
      <c r="H3" s="35"/>
      <c r="I3" s="32"/>
      <c r="J3" s="32"/>
      <c r="K3" s="32"/>
      <c r="L3" s="32"/>
      <c r="M3" s="32"/>
      <c r="N3" s="32"/>
      <c r="O3" s="32"/>
    </row>
    <row r="4" ht="12.75" customHeight="1">
      <c r="A4" s="36" t="s">
        <v>37</v>
      </c>
      <c r="B4" s="13">
        <v>0.75</v>
      </c>
      <c r="C4" s="13">
        <v>0.55</v>
      </c>
      <c r="D4" s="13">
        <v>0.78</v>
      </c>
      <c r="E4" s="13">
        <v>0.7</v>
      </c>
      <c r="F4" s="37">
        <v>0.78</v>
      </c>
      <c r="H4" s="32"/>
      <c r="I4" s="32"/>
      <c r="J4" s="32"/>
      <c r="K4" s="32"/>
      <c r="L4" s="32"/>
      <c r="M4" s="32"/>
      <c r="N4" s="32"/>
      <c r="O4" s="32"/>
    </row>
    <row r="5" ht="12.75" customHeight="1">
      <c r="A5" s="36" t="s">
        <v>39</v>
      </c>
      <c r="B5" s="13">
        <v>0.36</v>
      </c>
      <c r="C5" s="13">
        <v>0.16</v>
      </c>
      <c r="D5" s="13">
        <v>0.41</v>
      </c>
      <c r="E5" s="13">
        <v>0.31</v>
      </c>
      <c r="F5" s="37">
        <v>0.36</v>
      </c>
      <c r="H5" s="32"/>
      <c r="I5" s="32"/>
      <c r="J5" s="32"/>
      <c r="K5" s="32"/>
      <c r="L5" s="32"/>
      <c r="M5" s="32"/>
      <c r="N5" s="32"/>
      <c r="O5" s="32"/>
    </row>
    <row r="6" ht="12.75" customHeight="1">
      <c r="A6" s="36" t="s">
        <v>41</v>
      </c>
      <c r="B6" s="13">
        <v>0.5</v>
      </c>
      <c r="C6" s="13">
        <v>0.3</v>
      </c>
      <c r="D6" s="13">
        <v>0.6</v>
      </c>
      <c r="E6" s="13">
        <v>0.5</v>
      </c>
      <c r="F6" s="37">
        <v>0.7</v>
      </c>
      <c r="H6" s="32"/>
      <c r="I6" s="32"/>
      <c r="J6" s="32"/>
      <c r="K6" s="32"/>
      <c r="L6" s="32"/>
      <c r="M6" s="32"/>
      <c r="N6" s="32"/>
      <c r="O6" s="32"/>
    </row>
    <row r="7" ht="12.75" customHeight="1">
      <c r="A7" s="38" t="s">
        <v>43</v>
      </c>
      <c r="B7" s="39">
        <v>0.65</v>
      </c>
      <c r="C7" s="39">
        <v>0.42</v>
      </c>
      <c r="D7" s="39">
        <v>0.68</v>
      </c>
      <c r="E7" s="39">
        <v>0.6</v>
      </c>
      <c r="F7" s="40">
        <v>0.66</v>
      </c>
      <c r="H7" s="32"/>
      <c r="I7" s="32"/>
      <c r="J7" s="32"/>
      <c r="K7" s="32"/>
      <c r="L7" s="32"/>
      <c r="M7" s="32"/>
      <c r="N7" s="32"/>
      <c r="O7" s="32"/>
    </row>
    <row r="8" ht="12.75" customHeight="1">
      <c r="H8" s="32"/>
      <c r="I8" s="32"/>
      <c r="J8" s="32"/>
      <c r="K8" s="32"/>
      <c r="L8" s="32"/>
      <c r="M8" s="32"/>
      <c r="N8" s="32"/>
      <c r="O8" s="32"/>
    </row>
    <row r="9" ht="12.75" customHeight="1">
      <c r="H9" s="32"/>
      <c r="I9" s="32"/>
      <c r="J9" s="32"/>
      <c r="K9" s="32"/>
      <c r="L9" s="32"/>
      <c r="M9" s="32"/>
      <c r="N9" s="32"/>
      <c r="O9" s="32"/>
    </row>
    <row r="10" ht="12.75" customHeight="1">
      <c r="H10" s="32"/>
      <c r="I10" s="32"/>
      <c r="J10" s="32"/>
      <c r="K10" s="32"/>
      <c r="L10" s="32"/>
      <c r="M10" s="32"/>
      <c r="N10" s="32"/>
      <c r="O10" s="32"/>
    </row>
    <row r="11" ht="12.75" customHeight="1">
      <c r="A11" s="25" t="s">
        <v>15</v>
      </c>
      <c r="B11" s="26"/>
      <c r="C11" s="26"/>
      <c r="D11" s="26"/>
      <c r="E11" s="26"/>
      <c r="F11" s="27"/>
      <c r="H11" s="32"/>
      <c r="I11" s="32"/>
      <c r="J11" s="32"/>
      <c r="K11" s="32"/>
      <c r="L11" s="32"/>
      <c r="M11" s="32"/>
      <c r="N11" s="32"/>
      <c r="O11" s="32"/>
    </row>
    <row r="12" ht="12.75" customHeight="1">
      <c r="A12" s="28" t="s">
        <v>34</v>
      </c>
      <c r="B12" s="29" t="s">
        <v>44</v>
      </c>
      <c r="C12" s="30"/>
      <c r="D12" s="30"/>
      <c r="E12" s="30"/>
      <c r="F12" s="31"/>
      <c r="H12" s="32"/>
      <c r="I12" s="32"/>
      <c r="J12" s="32"/>
      <c r="K12" s="32"/>
      <c r="L12" s="32"/>
      <c r="M12" s="32"/>
      <c r="N12" s="32"/>
      <c r="O12" s="32"/>
    </row>
    <row r="13" ht="12.75" customHeight="1">
      <c r="A13" s="28"/>
      <c r="B13" s="33" t="s">
        <v>23</v>
      </c>
      <c r="C13" s="33" t="s">
        <v>24</v>
      </c>
      <c r="D13" s="33" t="s">
        <v>25</v>
      </c>
      <c r="E13" s="33" t="s">
        <v>26</v>
      </c>
      <c r="F13" s="34" t="s">
        <v>27</v>
      </c>
      <c r="H13" s="35"/>
      <c r="I13" s="32"/>
      <c r="J13" s="32"/>
      <c r="K13" s="32"/>
      <c r="L13" s="32"/>
      <c r="M13" s="32"/>
      <c r="N13" s="32"/>
      <c r="O13" s="32"/>
    </row>
    <row r="14" ht="12.75" customHeight="1">
      <c r="A14" s="36" t="s">
        <v>37</v>
      </c>
      <c r="B14" s="13">
        <v>0.7</v>
      </c>
      <c r="C14" s="13">
        <v>0.5</v>
      </c>
      <c r="D14" s="13">
        <v>0.73</v>
      </c>
      <c r="E14" s="13">
        <v>0.65</v>
      </c>
      <c r="F14" s="37">
        <v>0.73</v>
      </c>
      <c r="H14" s="32"/>
      <c r="I14" s="32"/>
      <c r="J14" s="32"/>
      <c r="K14" s="32"/>
      <c r="L14" s="32"/>
      <c r="M14" s="32"/>
      <c r="N14" s="32"/>
      <c r="O14" s="32"/>
    </row>
    <row r="15" ht="12.75" customHeight="1">
      <c r="A15" s="36" t="s">
        <v>39</v>
      </c>
      <c r="B15" s="13">
        <v>0.31</v>
      </c>
      <c r="C15" s="13">
        <v>0.11</v>
      </c>
      <c r="D15" s="13">
        <v>0.36</v>
      </c>
      <c r="E15" s="13">
        <v>0.26</v>
      </c>
      <c r="F15" s="37">
        <v>0.31</v>
      </c>
      <c r="H15" s="32"/>
      <c r="I15" s="32"/>
      <c r="J15" s="32"/>
      <c r="K15" s="32"/>
      <c r="L15" s="32"/>
      <c r="M15" s="32"/>
      <c r="N15" s="32"/>
      <c r="O15" s="32"/>
    </row>
    <row r="16" ht="12.75" customHeight="1">
      <c r="A16" s="36" t="s">
        <v>41</v>
      </c>
      <c r="B16" s="13">
        <v>0.6</v>
      </c>
      <c r="C16" s="13">
        <v>0.2</v>
      </c>
      <c r="D16" s="13">
        <v>0.6</v>
      </c>
      <c r="E16" s="13">
        <v>0.4</v>
      </c>
      <c r="F16" s="37">
        <v>0.5</v>
      </c>
      <c r="H16" s="32"/>
      <c r="I16" s="32"/>
      <c r="J16" s="32"/>
      <c r="K16" s="32"/>
      <c r="L16" s="32"/>
      <c r="M16" s="32"/>
      <c r="N16" s="32"/>
      <c r="O16" s="32"/>
    </row>
    <row r="17" ht="12.75" customHeight="1">
      <c r="A17" s="38" t="s">
        <v>43</v>
      </c>
      <c r="B17" s="39">
        <v>0.6</v>
      </c>
      <c r="C17" s="39">
        <v>0.38</v>
      </c>
      <c r="D17" s="39">
        <v>0.64</v>
      </c>
      <c r="E17" s="39">
        <v>0.56</v>
      </c>
      <c r="F17" s="40">
        <v>0.62</v>
      </c>
      <c r="H17" s="32"/>
      <c r="I17" s="32"/>
      <c r="J17" s="32"/>
      <c r="K17" s="32"/>
      <c r="L17" s="32"/>
      <c r="M17" s="32"/>
      <c r="N17" s="32"/>
      <c r="O17" s="32"/>
    </row>
    <row r="18" ht="12.75" customHeight="1">
      <c r="H18" s="32"/>
      <c r="I18" s="32"/>
      <c r="J18" s="32"/>
      <c r="K18" s="32"/>
      <c r="L18" s="32"/>
      <c r="M18" s="32"/>
      <c r="N18" s="32"/>
      <c r="O18" s="32"/>
    </row>
    <row r="19" ht="12.75" customHeight="1">
      <c r="H19" s="32"/>
      <c r="I19" s="32"/>
      <c r="J19" s="32"/>
      <c r="K19" s="32"/>
      <c r="L19" s="32"/>
      <c r="M19" s="32"/>
      <c r="N19" s="32"/>
      <c r="O19" s="32"/>
    </row>
    <row r="20" ht="12.75" customHeight="1">
      <c r="A20" s="25" t="s">
        <v>16</v>
      </c>
      <c r="B20" s="26"/>
      <c r="C20" s="26"/>
      <c r="D20" s="26"/>
      <c r="E20" s="26"/>
      <c r="F20" s="27"/>
      <c r="H20" s="35"/>
      <c r="I20" s="32"/>
      <c r="J20" s="32"/>
      <c r="K20" s="32"/>
      <c r="L20" s="32"/>
      <c r="M20" s="32"/>
      <c r="N20" s="32"/>
      <c r="O20" s="32"/>
    </row>
    <row r="21" ht="12.75" customHeight="1">
      <c r="A21" s="28" t="s">
        <v>34</v>
      </c>
      <c r="B21" s="29" t="s">
        <v>44</v>
      </c>
      <c r="C21" s="30"/>
      <c r="D21" s="30"/>
      <c r="E21" s="30"/>
      <c r="F21" s="31"/>
      <c r="H21" s="32"/>
      <c r="I21" s="32"/>
      <c r="J21" s="32"/>
      <c r="K21" s="32"/>
      <c r="L21" s="32"/>
      <c r="M21" s="32"/>
      <c r="N21" s="32"/>
      <c r="O21" s="32"/>
    </row>
    <row r="22" ht="12.75" customHeight="1">
      <c r="A22" s="28"/>
      <c r="B22" s="33" t="s">
        <v>23</v>
      </c>
      <c r="C22" s="33" t="s">
        <v>24</v>
      </c>
      <c r="D22" s="33" t="s">
        <v>25</v>
      </c>
      <c r="E22" s="33" t="s">
        <v>26</v>
      </c>
      <c r="F22" s="34" t="s">
        <v>27</v>
      </c>
      <c r="H22" s="32"/>
      <c r="I22" s="32"/>
      <c r="J22" s="32"/>
      <c r="K22" s="32"/>
      <c r="L22" s="32"/>
      <c r="M22" s="32"/>
      <c r="N22" s="32"/>
      <c r="O22" s="32"/>
    </row>
    <row r="23" ht="12.75" customHeight="1">
      <c r="A23" s="36" t="s">
        <v>37</v>
      </c>
      <c r="B23" s="13">
        <v>0.75</v>
      </c>
      <c r="C23" s="13">
        <v>0.58</v>
      </c>
      <c r="D23" s="13">
        <v>0.75</v>
      </c>
      <c r="E23" s="13">
        <v>0.68</v>
      </c>
      <c r="F23" s="37">
        <v>0.75</v>
      </c>
      <c r="H23" s="32"/>
      <c r="I23" s="32"/>
      <c r="J23" s="32"/>
      <c r="K23" s="32"/>
      <c r="L23" s="32"/>
      <c r="M23" s="32"/>
      <c r="N23" s="32"/>
      <c r="O23" s="32"/>
    </row>
    <row r="24" ht="12.75" customHeight="1">
      <c r="A24" s="36" t="s">
        <v>39</v>
      </c>
      <c r="B24" s="13">
        <v>0.41</v>
      </c>
      <c r="C24" s="13">
        <v>0.21</v>
      </c>
      <c r="D24" s="13">
        <v>0.41</v>
      </c>
      <c r="E24" s="13">
        <v>0.36</v>
      </c>
      <c r="F24" s="37">
        <v>0.36</v>
      </c>
      <c r="H24" s="32"/>
      <c r="I24" s="32"/>
      <c r="J24" s="32"/>
      <c r="K24" s="32"/>
      <c r="L24" s="32"/>
      <c r="M24" s="32"/>
      <c r="N24" s="32"/>
      <c r="O24" s="32"/>
    </row>
    <row r="25" ht="12.75" customHeight="1">
      <c r="A25" s="36" t="s">
        <v>41</v>
      </c>
      <c r="B25" s="13">
        <v>0.6</v>
      </c>
      <c r="C25" s="13">
        <v>0.3</v>
      </c>
      <c r="D25" s="13">
        <v>0.6</v>
      </c>
      <c r="E25" s="13">
        <v>0.5</v>
      </c>
      <c r="F25" s="37">
        <v>0.6</v>
      </c>
      <c r="H25" s="32"/>
      <c r="I25" s="32"/>
      <c r="J25" s="32"/>
      <c r="K25" s="32"/>
      <c r="L25" s="32"/>
      <c r="M25" s="32"/>
      <c r="N25" s="32"/>
      <c r="O25" s="32"/>
    </row>
    <row r="26" ht="12.75" customHeight="1">
      <c r="A26" s="38" t="s">
        <v>43</v>
      </c>
      <c r="B26" s="39">
        <v>0.65</v>
      </c>
      <c r="C26" s="39">
        <v>0.45</v>
      </c>
      <c r="D26" s="39">
        <v>0.65</v>
      </c>
      <c r="E26" s="39">
        <v>0.62</v>
      </c>
      <c r="F26" s="40">
        <v>0.65</v>
      </c>
      <c r="H26" s="32"/>
      <c r="I26" s="32"/>
      <c r="J26" s="32"/>
      <c r="K26" s="32"/>
      <c r="L26" s="32"/>
      <c r="M26" s="32"/>
      <c r="N26" s="32"/>
      <c r="O26" s="32"/>
    </row>
    <row r="27" ht="12.75" customHeight="1">
      <c r="H27" s="32"/>
      <c r="I27" s="32"/>
      <c r="J27" s="32"/>
      <c r="K27" s="32"/>
      <c r="L27" s="32"/>
      <c r="M27" s="32"/>
      <c r="N27" s="32"/>
      <c r="O27" s="32"/>
    </row>
    <row r="28" ht="12.75" customHeight="1">
      <c r="H28" s="32"/>
      <c r="I28" s="32"/>
      <c r="J28" s="32"/>
      <c r="K28" s="32"/>
      <c r="L28" s="32"/>
      <c r="M28" s="32"/>
      <c r="N28" s="32"/>
      <c r="O28" s="32"/>
    </row>
    <row r="29" ht="12.75" customHeight="1">
      <c r="H29" s="32"/>
      <c r="I29" s="32"/>
      <c r="J29" s="32"/>
      <c r="K29" s="32"/>
      <c r="L29" s="32"/>
      <c r="M29" s="32"/>
      <c r="N29" s="32"/>
      <c r="O29" s="32"/>
    </row>
    <row r="30" ht="12.75" customHeight="1">
      <c r="A30" s="25" t="s">
        <v>17</v>
      </c>
      <c r="B30" s="26"/>
      <c r="C30" s="26"/>
      <c r="D30" s="26"/>
      <c r="E30" s="26"/>
      <c r="F30" s="27"/>
      <c r="H30" s="32"/>
      <c r="I30" s="32"/>
      <c r="J30" s="32"/>
      <c r="K30" s="32"/>
      <c r="L30" s="32"/>
      <c r="M30" s="32"/>
      <c r="N30" s="32"/>
      <c r="O30" s="32"/>
    </row>
    <row r="31" ht="12.75" customHeight="1">
      <c r="A31" s="28" t="s">
        <v>34</v>
      </c>
      <c r="B31" s="29" t="s">
        <v>44</v>
      </c>
      <c r="C31" s="30"/>
      <c r="D31" s="30"/>
      <c r="E31" s="30"/>
      <c r="F31" s="31"/>
      <c r="H31" s="35"/>
      <c r="I31" s="32"/>
      <c r="J31" s="32"/>
      <c r="K31" s="32"/>
      <c r="L31" s="32"/>
      <c r="M31" s="32"/>
      <c r="N31" s="32"/>
      <c r="O31" s="32"/>
    </row>
    <row r="32" ht="12.75" customHeight="1">
      <c r="A32" s="28"/>
      <c r="B32" s="33" t="s">
        <v>23</v>
      </c>
      <c r="C32" s="33" t="s">
        <v>24</v>
      </c>
      <c r="D32" s="33" t="s">
        <v>25</v>
      </c>
      <c r="E32" s="33" t="s">
        <v>26</v>
      </c>
      <c r="F32" s="34" t="s">
        <v>27</v>
      </c>
      <c r="H32" s="32"/>
      <c r="I32" s="32"/>
      <c r="J32" s="32"/>
      <c r="K32" s="32"/>
      <c r="L32" s="32"/>
      <c r="M32" s="32"/>
      <c r="N32" s="32"/>
      <c r="O32" s="32"/>
    </row>
    <row r="33" ht="12.75" customHeight="1">
      <c r="A33" s="36" t="s">
        <v>37</v>
      </c>
      <c r="B33" s="13">
        <v>0.78</v>
      </c>
      <c r="C33" s="13">
        <v>0.53</v>
      </c>
      <c r="D33" s="13">
        <v>0.78</v>
      </c>
      <c r="E33" s="13">
        <v>0.68</v>
      </c>
      <c r="F33" s="37">
        <v>0.83</v>
      </c>
      <c r="H33" s="32"/>
      <c r="I33" s="32"/>
      <c r="J33" s="32"/>
      <c r="K33" s="32"/>
      <c r="L33" s="32"/>
      <c r="M33" s="32"/>
      <c r="N33" s="32"/>
      <c r="O33" s="32"/>
    </row>
    <row r="34" ht="12.75" customHeight="1">
      <c r="A34" s="36" t="s">
        <v>39</v>
      </c>
      <c r="B34" s="13">
        <v>0.36</v>
      </c>
      <c r="C34" s="13">
        <v>0.16</v>
      </c>
      <c r="D34" s="13">
        <v>0.36</v>
      </c>
      <c r="E34" s="13">
        <v>0.31</v>
      </c>
      <c r="F34" s="37">
        <v>0.41</v>
      </c>
      <c r="H34" s="32"/>
      <c r="I34" s="32"/>
      <c r="J34" s="32"/>
      <c r="K34" s="32"/>
      <c r="L34" s="32"/>
      <c r="M34" s="32"/>
      <c r="N34" s="32"/>
      <c r="O34" s="32"/>
    </row>
    <row r="35" ht="12.75" customHeight="1">
      <c r="A35" s="36" t="s">
        <v>41</v>
      </c>
      <c r="B35" s="13">
        <v>0.7</v>
      </c>
      <c r="C35" s="13">
        <v>0.2</v>
      </c>
      <c r="D35" s="13">
        <v>0.6</v>
      </c>
      <c r="E35" s="13">
        <v>0.5</v>
      </c>
      <c r="F35" s="37">
        <v>0.7</v>
      </c>
      <c r="H35" s="32"/>
      <c r="I35" s="32"/>
      <c r="J35" s="32"/>
      <c r="K35" s="32"/>
      <c r="L35" s="32"/>
      <c r="M35" s="32"/>
      <c r="N35" s="32"/>
      <c r="O35" s="32"/>
    </row>
    <row r="36" ht="12.75" customHeight="1">
      <c r="A36" s="38" t="s">
        <v>43</v>
      </c>
      <c r="B36" s="39">
        <v>0.68</v>
      </c>
      <c r="C36" s="39">
        <v>0.42</v>
      </c>
      <c r="D36" s="39">
        <v>0.66</v>
      </c>
      <c r="E36" s="39">
        <v>0.6</v>
      </c>
      <c r="F36" s="40">
        <v>0.7</v>
      </c>
      <c r="H36" s="32"/>
      <c r="I36" s="32"/>
      <c r="J36" s="32"/>
      <c r="K36" s="32"/>
      <c r="L36" s="32"/>
      <c r="M36" s="32"/>
      <c r="N36" s="32"/>
      <c r="O36" s="32"/>
    </row>
    <row r="37" ht="12.75" customHeight="1">
      <c r="H37" s="32"/>
      <c r="I37" s="32"/>
      <c r="J37" s="32"/>
      <c r="K37" s="32"/>
      <c r="L37" s="32"/>
      <c r="M37" s="32"/>
      <c r="N37" s="32"/>
      <c r="O37" s="32"/>
    </row>
    <row r="38" ht="12.75" customHeight="1">
      <c r="H38" s="32"/>
      <c r="I38" s="32"/>
      <c r="J38" s="32"/>
      <c r="K38" s="32"/>
      <c r="L38" s="32"/>
      <c r="M38" s="32"/>
      <c r="N38" s="32"/>
      <c r="O38" s="32"/>
    </row>
    <row r="39" ht="12.75" customHeight="1">
      <c r="H39" s="32"/>
      <c r="I39" s="32"/>
      <c r="J39" s="32"/>
      <c r="K39" s="32"/>
      <c r="L39" s="32"/>
      <c r="M39" s="32"/>
      <c r="N39" s="32"/>
      <c r="O39" s="32"/>
    </row>
    <row r="40" ht="12.75" customHeight="1">
      <c r="A40" s="25" t="s">
        <v>18</v>
      </c>
      <c r="B40" s="26"/>
      <c r="C40" s="26"/>
      <c r="D40" s="26"/>
      <c r="E40" s="26"/>
      <c r="F40" s="27"/>
      <c r="H40" s="35"/>
      <c r="I40" s="32"/>
      <c r="J40" s="32"/>
      <c r="K40" s="32"/>
      <c r="L40" s="32"/>
      <c r="M40" s="32"/>
      <c r="N40" s="32"/>
      <c r="O40" s="32"/>
    </row>
    <row r="41" ht="12.75" customHeight="1">
      <c r="A41" s="28" t="s">
        <v>34</v>
      </c>
      <c r="B41" s="29" t="s">
        <v>44</v>
      </c>
      <c r="C41" s="30"/>
      <c r="D41" s="30"/>
      <c r="E41" s="30"/>
      <c r="F41" s="31"/>
      <c r="H41" s="32"/>
      <c r="I41" s="32"/>
      <c r="J41" s="32"/>
      <c r="K41" s="32"/>
      <c r="L41" s="32"/>
      <c r="M41" s="32"/>
      <c r="N41" s="32"/>
      <c r="O41" s="32"/>
    </row>
    <row r="42" ht="12.75" customHeight="1">
      <c r="A42" s="28"/>
      <c r="B42" s="33" t="s">
        <v>23</v>
      </c>
      <c r="C42" s="33" t="s">
        <v>24</v>
      </c>
      <c r="D42" s="33" t="s">
        <v>25</v>
      </c>
      <c r="E42" s="33" t="s">
        <v>26</v>
      </c>
      <c r="F42" s="34" t="s">
        <v>27</v>
      </c>
      <c r="H42" s="32"/>
      <c r="I42" s="32"/>
      <c r="J42" s="32"/>
      <c r="K42" s="32"/>
      <c r="L42" s="32"/>
      <c r="M42" s="32"/>
      <c r="N42" s="32"/>
      <c r="O42" s="32"/>
    </row>
    <row r="43" ht="12.75" customHeight="1">
      <c r="A43" s="36" t="s">
        <v>37</v>
      </c>
      <c r="B43" s="13">
        <v>0.83</v>
      </c>
      <c r="C43" s="13">
        <v>0.68</v>
      </c>
      <c r="D43" s="13">
        <v>0.88</v>
      </c>
      <c r="E43" s="13">
        <v>0.83</v>
      </c>
      <c r="F43" s="37">
        <v>0.93</v>
      </c>
      <c r="H43" s="32"/>
      <c r="I43" s="32"/>
      <c r="J43" s="32"/>
      <c r="K43" s="32"/>
      <c r="L43" s="32"/>
      <c r="M43" s="32"/>
      <c r="N43" s="32"/>
      <c r="O43" s="32"/>
    </row>
    <row r="44" ht="12.75" customHeight="1">
      <c r="A44" s="36" t="s">
        <v>39</v>
      </c>
      <c r="B44" s="13">
        <v>0.41</v>
      </c>
      <c r="C44" s="13">
        <v>0.21</v>
      </c>
      <c r="D44" s="13">
        <v>0.46</v>
      </c>
      <c r="E44" s="13">
        <v>0.36</v>
      </c>
      <c r="F44" s="37">
        <v>0.46</v>
      </c>
      <c r="H44" s="32"/>
      <c r="I44" s="32"/>
      <c r="J44" s="32"/>
      <c r="K44" s="32"/>
      <c r="L44" s="32"/>
      <c r="M44" s="32"/>
      <c r="N44" s="32"/>
      <c r="O44" s="32"/>
    </row>
    <row r="45" ht="12.75" customHeight="1">
      <c r="A45" s="36" t="s">
        <v>41</v>
      </c>
      <c r="B45" s="13">
        <v>0.6</v>
      </c>
      <c r="C45" s="13">
        <v>0.2</v>
      </c>
      <c r="D45" s="13">
        <v>0.7</v>
      </c>
      <c r="E45" s="13">
        <v>0.8</v>
      </c>
      <c r="F45" s="37">
        <v>0.8</v>
      </c>
      <c r="H45" s="32"/>
      <c r="I45" s="32"/>
      <c r="J45" s="32"/>
      <c r="K45" s="32"/>
      <c r="L45" s="32"/>
      <c r="M45" s="32"/>
      <c r="N45" s="32"/>
      <c r="O45" s="32"/>
    </row>
    <row r="46" ht="12.75" customHeight="1">
      <c r="A46" s="38" t="s">
        <v>43</v>
      </c>
      <c r="B46" s="39">
        <v>0.72</v>
      </c>
      <c r="C46" s="39">
        <v>0.48</v>
      </c>
      <c r="D46" s="39">
        <v>0.77</v>
      </c>
      <c r="E46" s="39">
        <v>0.71</v>
      </c>
      <c r="F46" s="40">
        <v>0.8</v>
      </c>
      <c r="H46" s="32"/>
      <c r="I46" s="32"/>
      <c r="J46" s="32"/>
      <c r="K46" s="32"/>
      <c r="L46" s="32"/>
      <c r="M46" s="32"/>
      <c r="N46" s="32"/>
      <c r="O46" s="32"/>
    </row>
    <row r="47" ht="12.75" customHeight="1"/>
    <row r="48" ht="12.75" customHeight="1"/>
    <row r="49" ht="12.75" customHeight="1"/>
    <row r="50" ht="12.75" customHeight="1">
      <c r="A50" s="41"/>
    </row>
    <row r="51" ht="12.75" customHeight="1">
      <c r="A51" s="42"/>
      <c r="B51" s="43"/>
    </row>
    <row r="52" ht="12.75" customHeight="1">
      <c r="A52" s="42"/>
      <c r="B52" s="44"/>
      <c r="C52" s="44"/>
      <c r="D52" s="44"/>
      <c r="E52" s="44"/>
      <c r="F52" s="44"/>
    </row>
    <row r="53" ht="12.75" customHeight="1">
      <c r="A53" s="45"/>
      <c r="B53" s="46"/>
      <c r="C53" s="46"/>
      <c r="D53" s="46"/>
      <c r="E53" s="46"/>
      <c r="F53" s="46"/>
    </row>
    <row r="54" ht="12.75" customHeight="1">
      <c r="A54" s="45"/>
      <c r="B54" s="46"/>
      <c r="C54" s="46"/>
      <c r="D54" s="46"/>
      <c r="E54" s="46"/>
      <c r="F54" s="46"/>
    </row>
    <row r="55" ht="12.75" customHeight="1">
      <c r="A55" s="45"/>
      <c r="B55" s="46"/>
      <c r="C55" s="46"/>
      <c r="D55" s="46"/>
      <c r="E55" s="46"/>
      <c r="F55" s="46"/>
    </row>
    <row r="56" ht="12.75" customHeight="1">
      <c r="A56" s="45"/>
      <c r="B56" s="46"/>
      <c r="C56" s="46"/>
      <c r="D56" s="46"/>
      <c r="E56" s="46"/>
      <c r="F56" s="46"/>
    </row>
    <row r="57" ht="12.75" customHeight="1">
      <c r="A57" s="32"/>
      <c r="B57" s="32"/>
      <c r="C57" s="32"/>
      <c r="D57" s="32"/>
      <c r="E57" s="32"/>
      <c r="F57" s="32"/>
    </row>
    <row r="58" ht="12.75" customHeight="1">
      <c r="A58" s="32"/>
      <c r="B58" s="32"/>
      <c r="C58" s="32"/>
      <c r="D58" s="32"/>
      <c r="E58" s="32"/>
      <c r="F58" s="32"/>
    </row>
    <row r="59" ht="12.75" customHeight="1">
      <c r="A59" s="32"/>
      <c r="B59" s="32"/>
      <c r="C59" s="32"/>
      <c r="D59" s="32"/>
      <c r="E59" s="32"/>
      <c r="F59" s="32"/>
    </row>
    <row r="60" ht="12.75" customHeight="1">
      <c r="A60" s="32"/>
      <c r="B60" s="32"/>
      <c r="C60" s="32"/>
      <c r="D60" s="32"/>
      <c r="E60" s="32"/>
      <c r="F60" s="32"/>
    </row>
    <row r="61" ht="12.75" customHeight="1">
      <c r="A61" s="32"/>
      <c r="B61" s="32"/>
      <c r="C61" s="32"/>
      <c r="D61" s="32"/>
      <c r="E61" s="32"/>
      <c r="F61" s="32"/>
    </row>
    <row r="62" ht="12.75" customHeight="1">
      <c r="A62" s="32"/>
      <c r="B62" s="32"/>
      <c r="C62" s="32"/>
      <c r="D62" s="32"/>
      <c r="E62" s="32"/>
      <c r="F62" s="32"/>
    </row>
    <row r="63" ht="12.75" customHeight="1">
      <c r="A63" s="32"/>
      <c r="B63" s="32"/>
      <c r="C63" s="32"/>
      <c r="D63" s="32"/>
      <c r="E63" s="32"/>
      <c r="F63" s="32"/>
    </row>
    <row r="64" ht="12.75" customHeight="1">
      <c r="A64" s="32"/>
      <c r="B64" s="32"/>
      <c r="C64" s="32"/>
      <c r="D64" s="32"/>
      <c r="E64" s="32"/>
      <c r="F64" s="32"/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B31:F31"/>
    <mergeCell ref="A40:F40"/>
    <mergeCell ref="B41:F41"/>
    <mergeCell ref="A50:F50"/>
    <mergeCell ref="B51:F51"/>
    <mergeCell ref="A1:F1"/>
    <mergeCell ref="B2:F2"/>
    <mergeCell ref="A11:F11"/>
    <mergeCell ref="B12:F12"/>
    <mergeCell ref="A20:F20"/>
    <mergeCell ref="B21:F21"/>
    <mergeCell ref="A30:F3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8" width="11.57"/>
    <col customWidth="1" min="9" max="9" width="23.43"/>
    <col customWidth="1" min="10" max="26" width="11.57"/>
  </cols>
  <sheetData>
    <row r="1" ht="12.75" customHeight="1">
      <c r="A1" s="47" t="s">
        <v>45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  <c r="G1" s="48" t="s">
        <v>19</v>
      </c>
      <c r="H1" s="48" t="s">
        <v>20</v>
      </c>
      <c r="I1" s="47" t="s">
        <v>21</v>
      </c>
      <c r="J1" s="49" t="s">
        <v>22</v>
      </c>
    </row>
    <row r="2" ht="12.75" customHeight="1">
      <c r="A2" s="12" t="s">
        <v>23</v>
      </c>
      <c r="B2" s="12">
        <v>0.5</v>
      </c>
      <c r="C2" s="12">
        <v>0.6</v>
      </c>
      <c r="D2" s="12">
        <v>0.6</v>
      </c>
      <c r="E2" s="12">
        <v>0.7</v>
      </c>
      <c r="F2" s="12">
        <v>0.6</v>
      </c>
      <c r="G2" s="48">
        <f t="shared" ref="G2:G6" si="1">AVERAGE(B2:F2)</f>
        <v>0.6</v>
      </c>
      <c r="H2" s="50">
        <f t="shared" ref="H2:H6" si="2">STDEV(B2:F2)</f>
        <v>0.07071067812</v>
      </c>
      <c r="I2" s="51">
        <f t="shared" ref="I2:I6" si="3">H2/G2*100</f>
        <v>11.78511302</v>
      </c>
      <c r="J2" s="49">
        <v>0.2</v>
      </c>
    </row>
    <row r="3" ht="12.75" customHeight="1">
      <c r="A3" s="12" t="s">
        <v>24</v>
      </c>
      <c r="B3" s="12">
        <v>0.3</v>
      </c>
      <c r="C3" s="12">
        <v>0.2</v>
      </c>
      <c r="D3" s="12">
        <v>0.3</v>
      </c>
      <c r="E3" s="12">
        <v>0.2</v>
      </c>
      <c r="F3" s="12">
        <v>0.2</v>
      </c>
      <c r="G3" s="48">
        <f t="shared" si="1"/>
        <v>0.24</v>
      </c>
      <c r="H3" s="50">
        <f t="shared" si="2"/>
        <v>0.05477225575</v>
      </c>
      <c r="I3" s="51">
        <f t="shared" si="3"/>
        <v>22.82177323</v>
      </c>
      <c r="J3" s="49">
        <v>0.1</v>
      </c>
    </row>
    <row r="4" ht="12.75" customHeight="1">
      <c r="A4" s="12" t="s">
        <v>25</v>
      </c>
      <c r="B4" s="12">
        <v>0.6</v>
      </c>
      <c r="C4" s="12">
        <v>0.6</v>
      </c>
      <c r="D4" s="12">
        <v>0.6</v>
      </c>
      <c r="E4" s="12">
        <v>0.6</v>
      </c>
      <c r="F4" s="12">
        <v>0.7</v>
      </c>
      <c r="G4" s="48">
        <f t="shared" si="1"/>
        <v>0.62</v>
      </c>
      <c r="H4" s="50">
        <f t="shared" si="2"/>
        <v>0.04472135955</v>
      </c>
      <c r="I4" s="51">
        <f t="shared" si="3"/>
        <v>7.213122508</v>
      </c>
      <c r="J4" s="49">
        <v>0.3</v>
      </c>
    </row>
    <row r="5" ht="12.75" customHeight="1">
      <c r="A5" s="12" t="s">
        <v>26</v>
      </c>
      <c r="B5" s="12">
        <v>0.5</v>
      </c>
      <c r="C5" s="12">
        <v>0.4</v>
      </c>
      <c r="D5" s="12">
        <v>0.5</v>
      </c>
      <c r="E5" s="12">
        <v>0.5</v>
      </c>
      <c r="F5" s="12">
        <v>0.8</v>
      </c>
      <c r="G5" s="48">
        <f t="shared" si="1"/>
        <v>0.54</v>
      </c>
      <c r="H5" s="50">
        <f t="shared" si="2"/>
        <v>0.1516575089</v>
      </c>
      <c r="I5" s="51">
        <f t="shared" si="3"/>
        <v>28.08472387</v>
      </c>
      <c r="J5" s="49">
        <v>0.3</v>
      </c>
    </row>
    <row r="6" ht="12.75" customHeight="1">
      <c r="A6" s="12" t="s">
        <v>27</v>
      </c>
      <c r="B6" s="12">
        <v>0.7</v>
      </c>
      <c r="C6" s="12">
        <v>0.5</v>
      </c>
      <c r="D6" s="12">
        <v>0.6</v>
      </c>
      <c r="E6" s="12">
        <v>0.7</v>
      </c>
      <c r="F6" s="12">
        <v>0.8</v>
      </c>
      <c r="G6" s="48">
        <f t="shared" si="1"/>
        <v>0.66</v>
      </c>
      <c r="H6" s="50">
        <f t="shared" si="2"/>
        <v>0.1140175425</v>
      </c>
      <c r="I6" s="51">
        <f t="shared" si="3"/>
        <v>17.27538523</v>
      </c>
      <c r="J6" s="49">
        <v>0.1</v>
      </c>
    </row>
    <row r="7" ht="0.75" customHeight="1">
      <c r="A7" s="12"/>
      <c r="B7" s="12"/>
      <c r="C7" s="12"/>
      <c r="D7" s="12"/>
      <c r="E7" s="12"/>
      <c r="F7" s="12"/>
      <c r="G7" s="48"/>
      <c r="H7" s="50"/>
      <c r="I7" s="51"/>
      <c r="J7" s="49"/>
    </row>
    <row r="8" ht="10.5" customHeight="1">
      <c r="A8" s="12" t="s">
        <v>28</v>
      </c>
      <c r="B8" s="12">
        <f t="shared" ref="B8:F8" si="4">B2*$J2+B3*$J3+B4*$J4+B5*$J5+B6*$J6</f>
        <v>0.53</v>
      </c>
      <c r="C8" s="12">
        <f t="shared" si="4"/>
        <v>0.49</v>
      </c>
      <c r="D8" s="12">
        <f t="shared" si="4"/>
        <v>0.54</v>
      </c>
      <c r="E8" s="12">
        <f t="shared" si="4"/>
        <v>0.56</v>
      </c>
      <c r="F8" s="12">
        <f t="shared" si="4"/>
        <v>0.67</v>
      </c>
      <c r="G8" s="48">
        <f>AVERAGE(B8:F8)</f>
        <v>0.558</v>
      </c>
      <c r="H8" s="50">
        <f>STDEV(B8:F8)</f>
        <v>0.06760177512</v>
      </c>
      <c r="I8" s="51">
        <f>H8/G8*100</f>
        <v>12.11501346</v>
      </c>
      <c r="J8" s="49" t="s">
        <v>29</v>
      </c>
    </row>
    <row r="9" ht="12.75" hidden="1" customHeight="1">
      <c r="I9" s="52"/>
    </row>
    <row r="10" ht="12.75" customHeight="1">
      <c r="A10" s="53" t="s">
        <v>30</v>
      </c>
      <c r="B10" s="53">
        <f>SUM(B8:F8)/5</f>
        <v>0.558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  <property fmtid="{D5CDD505-2E9C-101B-9397-08002B2CF9AE}" pid="6" name="ICV">
    <vt:lpwstr>F118D4D22B674892991B9C93CABE9CC7_12</vt:lpwstr>
  </property>
  <property fmtid="{D5CDD505-2E9C-101B-9397-08002B2CF9AE}" pid="7" name="KSOProductBuildVer">
    <vt:lpwstr>1049-12.2.0.23196</vt:lpwstr>
  </property>
</Properties>
</file>