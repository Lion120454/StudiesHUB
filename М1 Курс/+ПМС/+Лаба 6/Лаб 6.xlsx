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7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8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9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10.xml" ContentType="application/vnd.openxmlformats-officedocument.drawing+xml"/>
  <Override PartName="/xl/charts/chart4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Flashka\ПМС\Лаба 6\"/>
    </mc:Choice>
  </mc:AlternateContent>
  <xr:revisionPtr revIDLastSave="0" documentId="13_ncr:1_{884F56AA-B7C5-45CA-BAA2-E35D78A38B62}" xr6:coauthVersionLast="45" xr6:coauthVersionMax="45" xr10:uidLastSave="{00000000-0000-0000-0000-000000000000}"/>
  <bookViews>
    <workbookView xWindow="-108" yWindow="-108" windowWidth="23256" windowHeight="12576" firstSheet="1" activeTab="9" xr2:uid="{00000000-000D-0000-FFFF-FFFF00000000}"/>
  </bookViews>
  <sheets>
    <sheet name="cos" sheetId="6" r:id="rId1"/>
    <sheet name="1" sheetId="3" r:id="rId2"/>
    <sheet name="2" sheetId="4" r:id="rId3"/>
    <sheet name="3" sheetId="5" r:id="rId4"/>
    <sheet name="4" sheetId="7" r:id="rId5"/>
    <sheet name="5" sheetId="8" r:id="rId6"/>
    <sheet name="6" sheetId="14" r:id="rId7"/>
    <sheet name="8" sheetId="13" r:id="rId8"/>
    <sheet name="7" sheetId="15" r:id="rId9"/>
    <sheet name="Лист" sheetId="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06" i="2" l="1"/>
  <c r="C107" i="2"/>
  <c r="C108" i="2"/>
  <c r="C109" i="2"/>
  <c r="C110" i="2"/>
  <c r="C111" i="2"/>
  <c r="G73" i="2"/>
  <c r="B106" i="2" a="1"/>
  <c r="B106" i="2" s="1"/>
  <c r="A108" i="2"/>
  <c r="A109" i="2"/>
  <c r="A110" i="2"/>
  <c r="A111" i="2"/>
  <c r="A107" i="2"/>
  <c r="A106" i="2"/>
  <c r="G74" i="2"/>
  <c r="G75" i="2"/>
  <c r="G76" i="2"/>
  <c r="G77" i="2"/>
  <c r="G78" i="2"/>
  <c r="B111" i="2" l="1"/>
  <c r="B110" i="2"/>
  <c r="B109" i="2"/>
  <c r="B108" i="2"/>
  <c r="B107" i="2"/>
  <c r="B74" i="15"/>
  <c r="B75" i="15"/>
  <c r="B76" i="15"/>
  <c r="B77" i="15"/>
  <c r="B78" i="15"/>
  <c r="B79" i="15"/>
  <c r="B80" i="15"/>
  <c r="B81" i="15"/>
  <c r="B82" i="15"/>
  <c r="B83" i="15"/>
  <c r="B84" i="15"/>
  <c r="B85" i="15"/>
  <c r="B86" i="15"/>
  <c r="B87" i="15"/>
  <c r="B88" i="15"/>
  <c r="B89" i="15"/>
  <c r="B90" i="15"/>
  <c r="B91" i="15"/>
  <c r="B92" i="15"/>
  <c r="B73" i="15"/>
  <c r="N99" i="2" l="1"/>
  <c r="N98" i="2"/>
  <c r="N95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73" i="2"/>
  <c r="N91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73" i="2"/>
  <c r="G83" i="2"/>
  <c r="D77" i="2"/>
  <c r="D73" i="2"/>
  <c r="D74" i="2"/>
  <c r="D75" i="2"/>
  <c r="D76" i="2"/>
  <c r="D78" i="2"/>
  <c r="E73" i="2" s="1" a="1"/>
  <c r="E73" i="2" s="1"/>
  <c r="F73" i="2" s="1"/>
  <c r="B97" i="2"/>
  <c r="B96" i="2"/>
  <c r="B95" i="2"/>
  <c r="E75" i="2" l="1"/>
  <c r="F75" i="2" s="1"/>
  <c r="F79" i="2" s="1"/>
  <c r="E74" i="2"/>
  <c r="F74" i="2" s="1"/>
  <c r="E76" i="2"/>
  <c r="F76" i="2" s="1"/>
  <c r="E78" i="2"/>
  <c r="F78" i="2" s="1"/>
  <c r="E77" i="2"/>
  <c r="F77" i="2" s="1"/>
  <c r="B94" i="2" l="1"/>
  <c r="B93" i="2"/>
  <c r="I5" i="2"/>
  <c r="E28" i="2"/>
  <c r="E27" i="2"/>
  <c r="F27" i="2"/>
  <c r="F28" i="2" s="1"/>
  <c r="B27" i="2"/>
  <c r="D27" i="2" s="1"/>
  <c r="D28" i="2" s="1"/>
  <c r="B26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5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5" i="2"/>
</calcChain>
</file>

<file path=xl/sharedStrings.xml><?xml version="1.0" encoding="utf-8"?>
<sst xmlns="http://schemas.openxmlformats.org/spreadsheetml/2006/main" count="350" uniqueCount="79">
  <si>
    <t>X</t>
  </si>
  <si>
    <t>Y</t>
  </si>
  <si>
    <t>σ=</t>
  </si>
  <si>
    <t>Остатки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</si>
  <si>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</si>
  <si>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</si>
  <si>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</si>
  <si>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</si>
  <si>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</si>
  <si>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</si>
  <si>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</si>
  <si>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</si>
  <si>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</si>
  <si>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</si>
  <si>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</si>
  <si>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</si>
  <si>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</si>
  <si>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</si>
  <si>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</si>
  <si>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</si>
  <si>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</si>
  <si>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</si>
  <si>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</si>
  <si>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</si>
  <si>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</si>
  <si>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</si>
  <si>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</si>
  <si>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</si>
  <si>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Переменная X 1</t>
  </si>
  <si>
    <t>ВЫВОД ОСТАТКА</t>
  </si>
  <si>
    <t>Наблюдение</t>
  </si>
  <si>
    <t>Предсказанное Y</t>
  </si>
  <si>
    <t>x1</t>
  </si>
  <si>
    <t>x2</t>
  </si>
  <si>
    <t>x3</t>
  </si>
  <si>
    <t>Переменная X 2</t>
  </si>
  <si>
    <t>Переменная X 3</t>
  </si>
  <si>
    <t>x4</t>
  </si>
  <si>
    <t>cosX</t>
  </si>
  <si>
    <t>sinX</t>
  </si>
  <si>
    <t>Переменная X 4</t>
  </si>
  <si>
    <t>x5</t>
  </si>
  <si>
    <t>Переменная X 5</t>
  </si>
  <si>
    <t>x7</t>
  </si>
  <si>
    <t>x6</t>
  </si>
  <si>
    <t>Переменная X 6</t>
  </si>
  <si>
    <t>Переменная X 7</t>
  </si>
  <si>
    <t>x8</t>
  </si>
  <si>
    <t>Переменная X 8</t>
  </si>
  <si>
    <t>Квантиль 0,025</t>
  </si>
  <si>
    <t>Квантиль 0,975</t>
  </si>
  <si>
    <t>Доверительные интервал</t>
  </si>
  <si>
    <t>Нижняя граница</t>
  </si>
  <si>
    <t>Верхняя граница</t>
  </si>
  <si>
    <r>
      <t xml:space="preserve">Доверительный интервал для условного среднего </t>
    </r>
    <r>
      <rPr>
        <b/>
        <sz val="11"/>
        <color theme="1"/>
        <rFont val="Calibri"/>
        <family val="2"/>
        <charset val="204"/>
      </rPr>
      <t>ỹ</t>
    </r>
  </si>
  <si>
    <t>Доверительный интервал для значений y</t>
  </si>
  <si>
    <t>Среднее</t>
  </si>
  <si>
    <t>Дисперсия</t>
  </si>
  <si>
    <t>max</t>
  </si>
  <si>
    <t>min</t>
  </si>
  <si>
    <t>h</t>
  </si>
  <si>
    <t>m</t>
  </si>
  <si>
    <t>ci</t>
  </si>
  <si>
    <t>Границы интервалов</t>
  </si>
  <si>
    <t>Частота</t>
  </si>
  <si>
    <t>Модифицированая статистика хи-квадрат</t>
  </si>
  <si>
    <t>Критическое значение</t>
  </si>
  <si>
    <t>Вывод: Нет оснований отвергать гипотезу H₀, остатки распределены по нормальному закону</t>
  </si>
  <si>
    <t>ei^2</t>
  </si>
  <si>
    <t>ei-ei1</t>
  </si>
  <si>
    <t>(ei-ei1)^2</t>
  </si>
  <si>
    <t>Коэффициент корреляции Дарбина-Ватсона</t>
  </si>
  <si>
    <t>D1(0,95)</t>
  </si>
  <si>
    <t>D2(0,95)</t>
  </si>
  <si>
    <t>4-D1(0,95)</t>
  </si>
  <si>
    <t>4-D2(0,95)</t>
  </si>
  <si>
    <t>так как  3,21 &gt; 2,92 &gt; 2,01, то критерий не позволяет принять решение по гипотизе о наличии или отсутствии корреляции остатков</t>
  </si>
  <si>
    <t>Плотность</t>
  </si>
  <si>
    <t>Интервалы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</si>
</sst>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b/>
      <sz val="12"/>
      <color theme="1"/>
      <name val="Calibri"/>
      <family val="2"/>
      <charset val="204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Fill="1" applyBorder="1" applyAlignment="1"/>
    <xf numFmtId="0" fontId="0" fillId="0" borderId="4" xfId="0" applyFill="1" applyBorder="1" applyAlignment="1"/>
    <xf numFmtId="0" fontId="5" fillId="0" borderId="6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Continuous"/>
    </xf>
    <xf numFmtId="0" fontId="0" fillId="3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5" borderId="1" xfId="0" applyFill="1" applyBorder="1" applyAlignment="1"/>
    <xf numFmtId="0" fontId="0" fillId="0" borderId="7" xfId="0" applyFill="1" applyBorder="1" applyAlignment="1"/>
    <xf numFmtId="0" fontId="0" fillId="0" borderId="8" xfId="0" applyBorder="1"/>
    <xf numFmtId="0" fontId="0" fillId="0" borderId="8" xfId="0" applyFill="1" applyBorder="1" applyAlignment="1"/>
    <xf numFmtId="0" fontId="0" fillId="6" borderId="8" xfId="0" applyFill="1" applyBorder="1" applyAlignment="1"/>
    <xf numFmtId="0" fontId="0" fillId="2" borderId="8" xfId="0" applyFill="1" applyBorder="1" applyAlignment="1"/>
    <xf numFmtId="0" fontId="2" fillId="5" borderId="8" xfId="0" applyFont="1" applyFill="1" applyBorder="1" applyAlignment="1"/>
    <xf numFmtId="0" fontId="2" fillId="4" borderId="9" xfId="0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2" fontId="0" fillId="0" borderId="0" xfId="0" applyNumberFormat="1"/>
    <xf numFmtId="2" fontId="2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0" xfId="0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7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5" borderId="18" xfId="0" applyFont="1" applyFill="1" applyBorder="1" applyAlignment="1">
      <alignment horizont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1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Лист!$L$5:$L$24</c:f>
              <c:numCache>
                <c:formatCode>General</c:formatCode>
                <c:ptCount val="20"/>
                <c:pt idx="0">
                  <c:v>0.80901699437494745</c:v>
                </c:pt>
                <c:pt idx="1">
                  <c:v>0.30901699437494745</c:v>
                </c:pt>
                <c:pt idx="2">
                  <c:v>-0.30901699437494734</c:v>
                </c:pt>
                <c:pt idx="3">
                  <c:v>-0.80901699437494734</c:v>
                </c:pt>
                <c:pt idx="4">
                  <c:v>-1</c:v>
                </c:pt>
                <c:pt idx="5">
                  <c:v>-0.80901699437494756</c:v>
                </c:pt>
                <c:pt idx="6">
                  <c:v>-0.30901699437494756</c:v>
                </c:pt>
                <c:pt idx="7">
                  <c:v>0.30901699437494723</c:v>
                </c:pt>
                <c:pt idx="8">
                  <c:v>0.80901699437494734</c:v>
                </c:pt>
                <c:pt idx="9">
                  <c:v>1</c:v>
                </c:pt>
                <c:pt idx="10">
                  <c:v>0.80901699437494756</c:v>
                </c:pt>
                <c:pt idx="11">
                  <c:v>0.30901699437494773</c:v>
                </c:pt>
                <c:pt idx="12">
                  <c:v>-0.30901699437494878</c:v>
                </c:pt>
                <c:pt idx="13">
                  <c:v>-0.80901699437494723</c:v>
                </c:pt>
                <c:pt idx="14">
                  <c:v>-1</c:v>
                </c:pt>
                <c:pt idx="15">
                  <c:v>-0.80901699437494767</c:v>
                </c:pt>
                <c:pt idx="16">
                  <c:v>-0.30901699437494612</c:v>
                </c:pt>
                <c:pt idx="17">
                  <c:v>0.30901699437494701</c:v>
                </c:pt>
                <c:pt idx="18">
                  <c:v>0.80901699437494712</c:v>
                </c:pt>
                <c:pt idx="19">
                  <c:v>1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D9-4A08-9EAB-41206BF56325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Лист!$L$5:$L$24</c:f>
              <c:numCache>
                <c:formatCode>General</c:formatCode>
                <c:ptCount val="20"/>
                <c:pt idx="0">
                  <c:v>0.80901699437494745</c:v>
                </c:pt>
                <c:pt idx="1">
                  <c:v>0.30901699437494745</c:v>
                </c:pt>
                <c:pt idx="2">
                  <c:v>-0.30901699437494734</c:v>
                </c:pt>
                <c:pt idx="3">
                  <c:v>-0.80901699437494734</c:v>
                </c:pt>
                <c:pt idx="4">
                  <c:v>-1</c:v>
                </c:pt>
                <c:pt idx="5">
                  <c:v>-0.80901699437494756</c:v>
                </c:pt>
                <c:pt idx="6">
                  <c:v>-0.30901699437494756</c:v>
                </c:pt>
                <c:pt idx="7">
                  <c:v>0.30901699437494723</c:v>
                </c:pt>
                <c:pt idx="8">
                  <c:v>0.80901699437494734</c:v>
                </c:pt>
                <c:pt idx="9">
                  <c:v>1</c:v>
                </c:pt>
                <c:pt idx="10">
                  <c:v>0.80901699437494756</c:v>
                </c:pt>
                <c:pt idx="11">
                  <c:v>0.30901699437494773</c:v>
                </c:pt>
                <c:pt idx="12">
                  <c:v>-0.30901699437494878</c:v>
                </c:pt>
                <c:pt idx="13">
                  <c:v>-0.80901699437494723</c:v>
                </c:pt>
                <c:pt idx="14">
                  <c:v>-1</c:v>
                </c:pt>
                <c:pt idx="15">
                  <c:v>-0.80901699437494767</c:v>
                </c:pt>
                <c:pt idx="16">
                  <c:v>-0.30901699437494612</c:v>
                </c:pt>
                <c:pt idx="17">
                  <c:v>0.30901699437494701</c:v>
                </c:pt>
                <c:pt idx="18">
                  <c:v>0.80901699437494712</c:v>
                </c:pt>
                <c:pt idx="19">
                  <c:v>1</c:v>
                </c:pt>
              </c:numCache>
            </c:numRef>
          </c:xVal>
          <c:yVal>
            <c:numRef>
              <c:f>cos!$B$27:$B$46</c:f>
              <c:numCache>
                <c:formatCode>General</c:formatCode>
                <c:ptCount val="20"/>
                <c:pt idx="0">
                  <c:v>2.4810438175542893</c:v>
                </c:pt>
                <c:pt idx="1">
                  <c:v>3.0869900648464417</c:v>
                </c:pt>
                <c:pt idx="2">
                  <c:v>3.3549306726278028</c:v>
                </c:pt>
                <c:pt idx="3">
                  <c:v>3.1545444559795186</c:v>
                </c:pt>
                <c:pt idx="4">
                  <c:v>2.5343951590715554</c:v>
                </c:pt>
                <c:pt idx="5">
                  <c:v>1.7033817555107262</c:v>
                </c:pt>
                <c:pt idx="6">
                  <c:v>0.95094614063785687</c:v>
                </c:pt>
                <c:pt idx="7">
                  <c:v>0.53651616527577961</c:v>
                </c:pt>
                <c:pt idx="8">
                  <c:v>0.59041301434334714</c:v>
                </c:pt>
                <c:pt idx="9">
                  <c:v>1.064072943670594</c:v>
                </c:pt>
                <c:pt idx="10">
                  <c:v>1.7485969796507064</c:v>
                </c:pt>
                <c:pt idx="11">
                  <c:v>2.3545432269428597</c:v>
                </c:pt>
                <c:pt idx="12">
                  <c:v>2.6224838347242208</c:v>
                </c:pt>
                <c:pt idx="13">
                  <c:v>2.422097618075937</c:v>
                </c:pt>
                <c:pt idx="14">
                  <c:v>1.8019483211679739</c:v>
                </c:pt>
                <c:pt idx="15">
                  <c:v>0.9709349176071449</c:v>
                </c:pt>
                <c:pt idx="16">
                  <c:v>0.21849930273427409</c:v>
                </c:pt>
                <c:pt idx="17">
                  <c:v>-0.1959306726278025</c:v>
                </c:pt>
                <c:pt idx="18">
                  <c:v>-0.14203382356023475</c:v>
                </c:pt>
                <c:pt idx="19">
                  <c:v>0.33162610576701179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BD9-4A08-9EAB-41206BF56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178495"/>
        <c:axId val="2136801695"/>
      </c:scatterChart>
      <c:valAx>
        <c:axId val="503178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36801695"/>
        <c:crosses val="autoZero"/>
        <c:crossBetween val="midCat"/>
      </c:valAx>
      <c:valAx>
        <c:axId val="21368016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17849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2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Лист!$M$5:$M$24</c:f>
              <c:numCache>
                <c:formatCode>General</c:formatCode>
                <c:ptCount val="20"/>
                <c:pt idx="0">
                  <c:v>0.58778525229247314</c:v>
                </c:pt>
                <c:pt idx="1">
                  <c:v>0.95105651629515353</c:v>
                </c:pt>
                <c:pt idx="2">
                  <c:v>0.95105651629515364</c:v>
                </c:pt>
                <c:pt idx="3">
                  <c:v>0.58778525229247325</c:v>
                </c:pt>
                <c:pt idx="4">
                  <c:v>1.22514845490862E-16</c:v>
                </c:pt>
                <c:pt idx="5">
                  <c:v>-0.58778525229247303</c:v>
                </c:pt>
                <c:pt idx="6">
                  <c:v>-0.95105651629515353</c:v>
                </c:pt>
                <c:pt idx="7">
                  <c:v>-0.95105651629515364</c:v>
                </c:pt>
                <c:pt idx="8">
                  <c:v>-0.58778525229247336</c:v>
                </c:pt>
                <c:pt idx="9">
                  <c:v>-2.45029690981724E-16</c:v>
                </c:pt>
                <c:pt idx="10">
                  <c:v>0.58778525229247292</c:v>
                </c:pt>
                <c:pt idx="11">
                  <c:v>0.95105651629515353</c:v>
                </c:pt>
                <c:pt idx="12">
                  <c:v>0.95105651629515309</c:v>
                </c:pt>
                <c:pt idx="13">
                  <c:v>0.58778525229247336</c:v>
                </c:pt>
                <c:pt idx="14">
                  <c:v>3.67544536472586E-16</c:v>
                </c:pt>
                <c:pt idx="15">
                  <c:v>-0.5877852522924728</c:v>
                </c:pt>
                <c:pt idx="16">
                  <c:v>-0.95105651629515398</c:v>
                </c:pt>
                <c:pt idx="17">
                  <c:v>-0.95105651629515375</c:v>
                </c:pt>
                <c:pt idx="18">
                  <c:v>-0.58778525229247347</c:v>
                </c:pt>
                <c:pt idx="19">
                  <c:v>-4.90059381963448E-16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36-461B-80D1-8DCFA1FA9BEB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Лист!$M$5:$M$24</c:f>
              <c:numCache>
                <c:formatCode>General</c:formatCode>
                <c:ptCount val="20"/>
                <c:pt idx="0">
                  <c:v>0.58778525229247314</c:v>
                </c:pt>
                <c:pt idx="1">
                  <c:v>0.95105651629515353</c:v>
                </c:pt>
                <c:pt idx="2">
                  <c:v>0.95105651629515364</c:v>
                </c:pt>
                <c:pt idx="3">
                  <c:v>0.58778525229247325</c:v>
                </c:pt>
                <c:pt idx="4">
                  <c:v>1.22514845490862E-16</c:v>
                </c:pt>
                <c:pt idx="5">
                  <c:v>-0.58778525229247303</c:v>
                </c:pt>
                <c:pt idx="6">
                  <c:v>-0.95105651629515353</c:v>
                </c:pt>
                <c:pt idx="7">
                  <c:v>-0.95105651629515364</c:v>
                </c:pt>
                <c:pt idx="8">
                  <c:v>-0.58778525229247336</c:v>
                </c:pt>
                <c:pt idx="9">
                  <c:v>-2.45029690981724E-16</c:v>
                </c:pt>
                <c:pt idx="10">
                  <c:v>0.58778525229247292</c:v>
                </c:pt>
                <c:pt idx="11">
                  <c:v>0.95105651629515353</c:v>
                </c:pt>
                <c:pt idx="12">
                  <c:v>0.95105651629515309</c:v>
                </c:pt>
                <c:pt idx="13">
                  <c:v>0.58778525229247336</c:v>
                </c:pt>
                <c:pt idx="14">
                  <c:v>3.67544536472586E-16</c:v>
                </c:pt>
                <c:pt idx="15">
                  <c:v>-0.5877852522924728</c:v>
                </c:pt>
                <c:pt idx="16">
                  <c:v>-0.95105651629515398</c:v>
                </c:pt>
                <c:pt idx="17">
                  <c:v>-0.95105651629515375</c:v>
                </c:pt>
                <c:pt idx="18">
                  <c:v>-0.58778525229247347</c:v>
                </c:pt>
                <c:pt idx="19">
                  <c:v>-4.90059381963448E-16</c:v>
                </c:pt>
              </c:numCache>
            </c:numRef>
          </c:xVal>
          <c:yVal>
            <c:numRef>
              <c:f>cos!$B$27:$B$46</c:f>
              <c:numCache>
                <c:formatCode>General</c:formatCode>
                <c:ptCount val="20"/>
                <c:pt idx="0">
                  <c:v>2.4810438175542893</c:v>
                </c:pt>
                <c:pt idx="1">
                  <c:v>3.0869900648464417</c:v>
                </c:pt>
                <c:pt idx="2">
                  <c:v>3.3549306726278028</c:v>
                </c:pt>
                <c:pt idx="3">
                  <c:v>3.1545444559795186</c:v>
                </c:pt>
                <c:pt idx="4">
                  <c:v>2.5343951590715554</c:v>
                </c:pt>
                <c:pt idx="5">
                  <c:v>1.7033817555107262</c:v>
                </c:pt>
                <c:pt idx="6">
                  <c:v>0.95094614063785687</c:v>
                </c:pt>
                <c:pt idx="7">
                  <c:v>0.53651616527577961</c:v>
                </c:pt>
                <c:pt idx="8">
                  <c:v>0.59041301434334714</c:v>
                </c:pt>
                <c:pt idx="9">
                  <c:v>1.064072943670594</c:v>
                </c:pt>
                <c:pt idx="10">
                  <c:v>1.7485969796507064</c:v>
                </c:pt>
                <c:pt idx="11">
                  <c:v>2.3545432269428597</c:v>
                </c:pt>
                <c:pt idx="12">
                  <c:v>2.6224838347242208</c:v>
                </c:pt>
                <c:pt idx="13">
                  <c:v>2.422097618075937</c:v>
                </c:pt>
                <c:pt idx="14">
                  <c:v>1.8019483211679739</c:v>
                </c:pt>
                <c:pt idx="15">
                  <c:v>0.9709349176071449</c:v>
                </c:pt>
                <c:pt idx="16">
                  <c:v>0.21849930273427409</c:v>
                </c:pt>
                <c:pt idx="17">
                  <c:v>-0.1959306726278025</c:v>
                </c:pt>
                <c:pt idx="18">
                  <c:v>-0.14203382356023475</c:v>
                </c:pt>
                <c:pt idx="19">
                  <c:v>0.33162610576701179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36-461B-80D1-8DCFA1FA9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096543"/>
        <c:axId val="361369103"/>
      </c:scatterChart>
      <c:valAx>
        <c:axId val="496096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61369103"/>
        <c:crosses val="autoZero"/>
        <c:crossBetween val="midCat"/>
      </c:valAx>
      <c:valAx>
        <c:axId val="3613691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609654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3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Лист!$N$5:$N$24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3C-4892-890F-57A4109EA725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Лист!$N$5:$N$24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cos!$B$27:$B$46</c:f>
              <c:numCache>
                <c:formatCode>General</c:formatCode>
                <c:ptCount val="20"/>
                <c:pt idx="0">
                  <c:v>2.4810438175542893</c:v>
                </c:pt>
                <c:pt idx="1">
                  <c:v>3.0869900648464417</c:v>
                </c:pt>
                <c:pt idx="2">
                  <c:v>3.3549306726278028</c:v>
                </c:pt>
                <c:pt idx="3">
                  <c:v>3.1545444559795186</c:v>
                </c:pt>
                <c:pt idx="4">
                  <c:v>2.5343951590715554</c:v>
                </c:pt>
                <c:pt idx="5">
                  <c:v>1.7033817555107262</c:v>
                </c:pt>
                <c:pt idx="6">
                  <c:v>0.95094614063785687</c:v>
                </c:pt>
                <c:pt idx="7">
                  <c:v>0.53651616527577961</c:v>
                </c:pt>
                <c:pt idx="8">
                  <c:v>0.59041301434334714</c:v>
                </c:pt>
                <c:pt idx="9">
                  <c:v>1.064072943670594</c:v>
                </c:pt>
                <c:pt idx="10">
                  <c:v>1.7485969796507064</c:v>
                </c:pt>
                <c:pt idx="11">
                  <c:v>2.3545432269428597</c:v>
                </c:pt>
                <c:pt idx="12">
                  <c:v>2.6224838347242208</c:v>
                </c:pt>
                <c:pt idx="13">
                  <c:v>2.422097618075937</c:v>
                </c:pt>
                <c:pt idx="14">
                  <c:v>1.8019483211679739</c:v>
                </c:pt>
                <c:pt idx="15">
                  <c:v>0.9709349176071449</c:v>
                </c:pt>
                <c:pt idx="16">
                  <c:v>0.21849930273427409</c:v>
                </c:pt>
                <c:pt idx="17">
                  <c:v>-0.1959306726278025</c:v>
                </c:pt>
                <c:pt idx="18">
                  <c:v>-0.14203382356023475</c:v>
                </c:pt>
                <c:pt idx="19">
                  <c:v>0.33162610576701179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3C-4892-890F-57A4109EA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098943"/>
        <c:axId val="361371183"/>
      </c:scatterChart>
      <c:valAx>
        <c:axId val="496098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61371183"/>
        <c:crosses val="autoZero"/>
        <c:crossBetween val="midCat"/>
      </c:valAx>
      <c:valAx>
        <c:axId val="3613711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609894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1 </a:t>
            </a:r>
            <a:r>
              <a:rPr lang="ru-RU"/>
              <a:t>График подбора</a:t>
            </a:r>
          </a:p>
        </c:rich>
      </c:tx>
      <c:layout>
        <c:manualLayout>
          <c:xMode val="edge"/>
          <c:yMode val="edge"/>
          <c:x val="0.21102398372290349"/>
          <c:y val="3.2953101250090169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Лист!$C$5:$C$24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44-44BC-B933-882B43B85CEB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Лист!$C$5:$C$24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'1'!$B$26:$B$45</c:f>
              <c:numCache>
                <c:formatCode>General</c:formatCode>
                <c:ptCount val="20"/>
                <c:pt idx="0">
                  <c:v>-2.9142532467532436</c:v>
                </c:pt>
                <c:pt idx="1">
                  <c:v>-1.2293537252221438</c:v>
                </c:pt>
                <c:pt idx="2">
                  <c:v>0.25356698564593516</c:v>
                </c:pt>
                <c:pt idx="3">
                  <c:v>1.5345088858509925</c:v>
                </c:pt>
                <c:pt idx="4">
                  <c:v>2.6134719753930296</c:v>
                </c:pt>
                <c:pt idx="5">
                  <c:v>3.4904562542720448</c:v>
                </c:pt>
                <c:pt idx="6">
                  <c:v>4.1654617224880388</c:v>
                </c:pt>
                <c:pt idx="7">
                  <c:v>4.6384883800410117</c:v>
                </c:pt>
                <c:pt idx="8">
                  <c:v>4.9095362269309639</c:v>
                </c:pt>
                <c:pt idx="9">
                  <c:v>4.9786052631578954</c:v>
                </c:pt>
                <c:pt idx="10">
                  <c:v>4.8456954887218018</c:v>
                </c:pt>
                <c:pt idx="11">
                  <c:v>4.5108069036226919</c:v>
                </c:pt>
                <c:pt idx="12">
                  <c:v>3.9739395078605604</c:v>
                </c:pt>
                <c:pt idx="13">
                  <c:v>3.2350933014354091</c:v>
                </c:pt>
                <c:pt idx="14">
                  <c:v>2.2942682843472291</c:v>
                </c:pt>
                <c:pt idx="15">
                  <c:v>1.1514644565960346</c:v>
                </c:pt>
                <c:pt idx="16">
                  <c:v>-0.1933181818181815</c:v>
                </c:pt>
                <c:pt idx="17">
                  <c:v>-1.7400796308954156</c:v>
                </c:pt>
                <c:pt idx="18">
                  <c:v>-3.4888198906356749</c:v>
                </c:pt>
                <c:pt idx="19">
                  <c:v>-5.4395389610389557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B44-44BC-B933-882B43B85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139407"/>
        <c:axId val="2136785887"/>
      </c:scatterChart>
      <c:valAx>
        <c:axId val="431139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36785887"/>
        <c:crosses val="autoZero"/>
        <c:crossBetween val="midCat"/>
      </c:valAx>
      <c:valAx>
        <c:axId val="21367858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113940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2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Лист!$D$5:$D$24</c:f>
              <c:numCache>
                <c:formatCode>General</c:formatCode>
                <c:ptCount val="20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  <c:pt idx="7">
                  <c:v>64</c:v>
                </c:pt>
                <c:pt idx="8">
                  <c:v>81</c:v>
                </c:pt>
                <c:pt idx="9">
                  <c:v>100</c:v>
                </c:pt>
                <c:pt idx="10">
                  <c:v>121</c:v>
                </c:pt>
                <c:pt idx="11">
                  <c:v>144</c:v>
                </c:pt>
                <c:pt idx="12">
                  <c:v>169</c:v>
                </c:pt>
                <c:pt idx="13">
                  <c:v>196</c:v>
                </c:pt>
                <c:pt idx="14">
                  <c:v>225</c:v>
                </c:pt>
                <c:pt idx="15">
                  <c:v>256</c:v>
                </c:pt>
                <c:pt idx="16">
                  <c:v>289</c:v>
                </c:pt>
                <c:pt idx="17">
                  <c:v>324</c:v>
                </c:pt>
                <c:pt idx="18">
                  <c:v>361</c:v>
                </c:pt>
                <c:pt idx="19">
                  <c:v>400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68-4436-9FBC-63272F8061A7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Лист!$D$5:$D$24</c:f>
              <c:numCache>
                <c:formatCode>General</c:formatCode>
                <c:ptCount val="20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  <c:pt idx="7">
                  <c:v>64</c:v>
                </c:pt>
                <c:pt idx="8">
                  <c:v>81</c:v>
                </c:pt>
                <c:pt idx="9">
                  <c:v>100</c:v>
                </c:pt>
                <c:pt idx="10">
                  <c:v>121</c:v>
                </c:pt>
                <c:pt idx="11">
                  <c:v>144</c:v>
                </c:pt>
                <c:pt idx="12">
                  <c:v>169</c:v>
                </c:pt>
                <c:pt idx="13">
                  <c:v>196</c:v>
                </c:pt>
                <c:pt idx="14">
                  <c:v>225</c:v>
                </c:pt>
                <c:pt idx="15">
                  <c:v>256</c:v>
                </c:pt>
                <c:pt idx="16">
                  <c:v>289</c:v>
                </c:pt>
                <c:pt idx="17">
                  <c:v>324</c:v>
                </c:pt>
                <c:pt idx="18">
                  <c:v>361</c:v>
                </c:pt>
                <c:pt idx="19">
                  <c:v>400</c:v>
                </c:pt>
              </c:numCache>
            </c:numRef>
          </c:xVal>
          <c:yVal>
            <c:numRef>
              <c:f>'1'!$B$26:$B$45</c:f>
              <c:numCache>
                <c:formatCode>General</c:formatCode>
                <c:ptCount val="20"/>
                <c:pt idx="0">
                  <c:v>-2.9142532467532436</c:v>
                </c:pt>
                <c:pt idx="1">
                  <c:v>-1.2293537252221438</c:v>
                </c:pt>
                <c:pt idx="2">
                  <c:v>0.25356698564593516</c:v>
                </c:pt>
                <c:pt idx="3">
                  <c:v>1.5345088858509925</c:v>
                </c:pt>
                <c:pt idx="4">
                  <c:v>2.6134719753930296</c:v>
                </c:pt>
                <c:pt idx="5">
                  <c:v>3.4904562542720448</c:v>
                </c:pt>
                <c:pt idx="6">
                  <c:v>4.1654617224880388</c:v>
                </c:pt>
                <c:pt idx="7">
                  <c:v>4.6384883800410117</c:v>
                </c:pt>
                <c:pt idx="8">
                  <c:v>4.9095362269309639</c:v>
                </c:pt>
                <c:pt idx="9">
                  <c:v>4.9786052631578954</c:v>
                </c:pt>
                <c:pt idx="10">
                  <c:v>4.8456954887218018</c:v>
                </c:pt>
                <c:pt idx="11">
                  <c:v>4.5108069036226919</c:v>
                </c:pt>
                <c:pt idx="12">
                  <c:v>3.9739395078605604</c:v>
                </c:pt>
                <c:pt idx="13">
                  <c:v>3.2350933014354091</c:v>
                </c:pt>
                <c:pt idx="14">
                  <c:v>2.2942682843472291</c:v>
                </c:pt>
                <c:pt idx="15">
                  <c:v>1.1514644565960346</c:v>
                </c:pt>
                <c:pt idx="16">
                  <c:v>-0.1933181818181815</c:v>
                </c:pt>
                <c:pt idx="17">
                  <c:v>-1.7400796308954156</c:v>
                </c:pt>
                <c:pt idx="18">
                  <c:v>-3.4888198906356749</c:v>
                </c:pt>
                <c:pt idx="19">
                  <c:v>-5.4395389610389557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568-4436-9FBC-63272F806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141007"/>
        <c:axId val="2136803359"/>
      </c:scatterChart>
      <c:valAx>
        <c:axId val="431141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36803359"/>
        <c:crosses val="autoZero"/>
        <c:crossBetween val="midCat"/>
      </c:valAx>
      <c:valAx>
        <c:axId val="21368033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114100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1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Лист!$C$5:$C$24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EB-4685-BC63-487F2A8AE06F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Лист!$C$5:$C$24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'2'!$B$27:$B$46</c:f>
              <c:numCache>
                <c:formatCode>General</c:formatCode>
                <c:ptCount val="20"/>
                <c:pt idx="0">
                  <c:v>-0.87546470920382879</c:v>
                </c:pt>
                <c:pt idx="1">
                  <c:v>-0.47822110612498792</c:v>
                </c:pt>
                <c:pt idx="2">
                  <c:v>7.472588586090359E-2</c:v>
                </c:pt>
                <c:pt idx="3">
                  <c:v>0.74129600798089634</c:v>
                </c:pt>
                <c:pt idx="4">
                  <c:v>1.47940900146204</c:v>
                </c:pt>
                <c:pt idx="5">
                  <c:v>2.2469846075313864</c:v>
                </c:pt>
                <c:pt idx="6">
                  <c:v>3.001942567415985</c:v>
                </c:pt>
                <c:pt idx="7">
                  <c:v>3.7022026223428854</c:v>
                </c:pt>
                <c:pt idx="8">
                  <c:v>4.3056845135391404</c:v>
                </c:pt>
                <c:pt idx="9">
                  <c:v>4.7703079822317953</c:v>
                </c:pt>
                <c:pt idx="10">
                  <c:v>5.0539927696479054</c:v>
                </c:pt>
                <c:pt idx="11">
                  <c:v>5.1146586170145216</c:v>
                </c:pt>
                <c:pt idx="12">
                  <c:v>4.9102252655586884</c:v>
                </c:pt>
                <c:pt idx="13">
                  <c:v>4.3986124565074611</c:v>
                </c:pt>
                <c:pt idx="14">
                  <c:v>3.5377399310878914</c:v>
                </c:pt>
                <c:pt idx="15">
                  <c:v>2.2855274305270221</c:v>
                </c:pt>
                <c:pt idx="16">
                  <c:v>0.59989469605191914</c:v>
                </c:pt>
                <c:pt idx="17">
                  <c:v>-1.5612385311103907</c:v>
                </c:pt>
                <c:pt idx="18">
                  <c:v>-4.2399525097328379</c:v>
                </c:pt>
                <c:pt idx="19">
                  <c:v>-7.478327498588385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EB-4685-BC63-487F2A8AE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358895"/>
        <c:axId val="2136784223"/>
      </c:scatterChart>
      <c:valAx>
        <c:axId val="436358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36784223"/>
        <c:crosses val="autoZero"/>
        <c:crossBetween val="midCat"/>
      </c:valAx>
      <c:valAx>
        <c:axId val="21367842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635889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2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Лист!$D$5:$D$24</c:f>
              <c:numCache>
                <c:formatCode>General</c:formatCode>
                <c:ptCount val="20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  <c:pt idx="7">
                  <c:v>64</c:v>
                </c:pt>
                <c:pt idx="8">
                  <c:v>81</c:v>
                </c:pt>
                <c:pt idx="9">
                  <c:v>100</c:v>
                </c:pt>
                <c:pt idx="10">
                  <c:v>121</c:v>
                </c:pt>
                <c:pt idx="11">
                  <c:v>144</c:v>
                </c:pt>
                <c:pt idx="12">
                  <c:v>169</c:v>
                </c:pt>
                <c:pt idx="13">
                  <c:v>196</c:v>
                </c:pt>
                <c:pt idx="14">
                  <c:v>225</c:v>
                </c:pt>
                <c:pt idx="15">
                  <c:v>256</c:v>
                </c:pt>
                <c:pt idx="16">
                  <c:v>289</c:v>
                </c:pt>
                <c:pt idx="17">
                  <c:v>324</c:v>
                </c:pt>
                <c:pt idx="18">
                  <c:v>361</c:v>
                </c:pt>
                <c:pt idx="19">
                  <c:v>400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45-4C73-821A-D561AEAE740F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Лист!$D$5:$D$24</c:f>
              <c:numCache>
                <c:formatCode>General</c:formatCode>
                <c:ptCount val="20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  <c:pt idx="7">
                  <c:v>64</c:v>
                </c:pt>
                <c:pt idx="8">
                  <c:v>81</c:v>
                </c:pt>
                <c:pt idx="9">
                  <c:v>100</c:v>
                </c:pt>
                <c:pt idx="10">
                  <c:v>121</c:v>
                </c:pt>
                <c:pt idx="11">
                  <c:v>144</c:v>
                </c:pt>
                <c:pt idx="12">
                  <c:v>169</c:v>
                </c:pt>
                <c:pt idx="13">
                  <c:v>196</c:v>
                </c:pt>
                <c:pt idx="14">
                  <c:v>225</c:v>
                </c:pt>
                <c:pt idx="15">
                  <c:v>256</c:v>
                </c:pt>
                <c:pt idx="16">
                  <c:v>289</c:v>
                </c:pt>
                <c:pt idx="17">
                  <c:v>324</c:v>
                </c:pt>
                <c:pt idx="18">
                  <c:v>361</c:v>
                </c:pt>
                <c:pt idx="19">
                  <c:v>400</c:v>
                </c:pt>
              </c:numCache>
            </c:numRef>
          </c:xVal>
          <c:yVal>
            <c:numRef>
              <c:f>'2'!$B$27:$B$46</c:f>
              <c:numCache>
                <c:formatCode>General</c:formatCode>
                <c:ptCount val="20"/>
                <c:pt idx="0">
                  <c:v>-0.87546470920382879</c:v>
                </c:pt>
                <c:pt idx="1">
                  <c:v>-0.47822110612498792</c:v>
                </c:pt>
                <c:pt idx="2">
                  <c:v>7.472588586090359E-2</c:v>
                </c:pt>
                <c:pt idx="3">
                  <c:v>0.74129600798089634</c:v>
                </c:pt>
                <c:pt idx="4">
                  <c:v>1.47940900146204</c:v>
                </c:pt>
                <c:pt idx="5">
                  <c:v>2.2469846075313864</c:v>
                </c:pt>
                <c:pt idx="6">
                  <c:v>3.001942567415985</c:v>
                </c:pt>
                <c:pt idx="7">
                  <c:v>3.7022026223428854</c:v>
                </c:pt>
                <c:pt idx="8">
                  <c:v>4.3056845135391404</c:v>
                </c:pt>
                <c:pt idx="9">
                  <c:v>4.7703079822317953</c:v>
                </c:pt>
                <c:pt idx="10">
                  <c:v>5.0539927696479054</c:v>
                </c:pt>
                <c:pt idx="11">
                  <c:v>5.1146586170145216</c:v>
                </c:pt>
                <c:pt idx="12">
                  <c:v>4.9102252655586884</c:v>
                </c:pt>
                <c:pt idx="13">
                  <c:v>4.3986124565074611</c:v>
                </c:pt>
                <c:pt idx="14">
                  <c:v>3.5377399310878914</c:v>
                </c:pt>
                <c:pt idx="15">
                  <c:v>2.2855274305270221</c:v>
                </c:pt>
                <c:pt idx="16">
                  <c:v>0.59989469605191914</c:v>
                </c:pt>
                <c:pt idx="17">
                  <c:v>-1.5612385311103907</c:v>
                </c:pt>
                <c:pt idx="18">
                  <c:v>-4.2399525097328379</c:v>
                </c:pt>
                <c:pt idx="19">
                  <c:v>-7.478327498588385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E45-4C73-821A-D561AEAE7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670639"/>
        <c:axId val="202358783"/>
      </c:scatterChart>
      <c:valAx>
        <c:axId val="432670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2358783"/>
        <c:crosses val="autoZero"/>
        <c:crossBetween val="midCat"/>
      </c:valAx>
      <c:valAx>
        <c:axId val="2023587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267063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3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Лист!$E$5:$E$24</c:f>
              <c:numCache>
                <c:formatCode>General</c:formatCode>
                <c:ptCount val="20"/>
                <c:pt idx="0">
                  <c:v>1</c:v>
                </c:pt>
                <c:pt idx="1">
                  <c:v>8</c:v>
                </c:pt>
                <c:pt idx="2">
                  <c:v>27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729</c:v>
                </c:pt>
                <c:pt idx="9">
                  <c:v>1000</c:v>
                </c:pt>
                <c:pt idx="10">
                  <c:v>1331</c:v>
                </c:pt>
                <c:pt idx="11">
                  <c:v>1728</c:v>
                </c:pt>
                <c:pt idx="12">
                  <c:v>2197</c:v>
                </c:pt>
                <c:pt idx="13">
                  <c:v>2744</c:v>
                </c:pt>
                <c:pt idx="14">
                  <c:v>3375</c:v>
                </c:pt>
                <c:pt idx="15">
                  <c:v>4096</c:v>
                </c:pt>
                <c:pt idx="16">
                  <c:v>4913</c:v>
                </c:pt>
                <c:pt idx="17">
                  <c:v>5832</c:v>
                </c:pt>
                <c:pt idx="18">
                  <c:v>6859</c:v>
                </c:pt>
                <c:pt idx="19">
                  <c:v>8000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D1-4128-AD82-193B2180C70D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Лист!$E$5:$E$24</c:f>
              <c:numCache>
                <c:formatCode>General</c:formatCode>
                <c:ptCount val="20"/>
                <c:pt idx="0">
                  <c:v>1</c:v>
                </c:pt>
                <c:pt idx="1">
                  <c:v>8</c:v>
                </c:pt>
                <c:pt idx="2">
                  <c:v>27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729</c:v>
                </c:pt>
                <c:pt idx="9">
                  <c:v>1000</c:v>
                </c:pt>
                <c:pt idx="10">
                  <c:v>1331</c:v>
                </c:pt>
                <c:pt idx="11">
                  <c:v>1728</c:v>
                </c:pt>
                <c:pt idx="12">
                  <c:v>2197</c:v>
                </c:pt>
                <c:pt idx="13">
                  <c:v>2744</c:v>
                </c:pt>
                <c:pt idx="14">
                  <c:v>3375</c:v>
                </c:pt>
                <c:pt idx="15">
                  <c:v>4096</c:v>
                </c:pt>
                <c:pt idx="16">
                  <c:v>4913</c:v>
                </c:pt>
                <c:pt idx="17">
                  <c:v>5832</c:v>
                </c:pt>
                <c:pt idx="18">
                  <c:v>6859</c:v>
                </c:pt>
                <c:pt idx="19">
                  <c:v>8000</c:v>
                </c:pt>
              </c:numCache>
            </c:numRef>
          </c:xVal>
          <c:yVal>
            <c:numRef>
              <c:f>'2'!$B$27:$B$46</c:f>
              <c:numCache>
                <c:formatCode>General</c:formatCode>
                <c:ptCount val="20"/>
                <c:pt idx="0">
                  <c:v>-0.87546470920382879</c:v>
                </c:pt>
                <c:pt idx="1">
                  <c:v>-0.47822110612498792</c:v>
                </c:pt>
                <c:pt idx="2">
                  <c:v>7.472588586090359E-2</c:v>
                </c:pt>
                <c:pt idx="3">
                  <c:v>0.74129600798089634</c:v>
                </c:pt>
                <c:pt idx="4">
                  <c:v>1.47940900146204</c:v>
                </c:pt>
                <c:pt idx="5">
                  <c:v>2.2469846075313864</c:v>
                </c:pt>
                <c:pt idx="6">
                  <c:v>3.001942567415985</c:v>
                </c:pt>
                <c:pt idx="7">
                  <c:v>3.7022026223428854</c:v>
                </c:pt>
                <c:pt idx="8">
                  <c:v>4.3056845135391404</c:v>
                </c:pt>
                <c:pt idx="9">
                  <c:v>4.7703079822317953</c:v>
                </c:pt>
                <c:pt idx="10">
                  <c:v>5.0539927696479054</c:v>
                </c:pt>
                <c:pt idx="11">
                  <c:v>5.1146586170145216</c:v>
                </c:pt>
                <c:pt idx="12">
                  <c:v>4.9102252655586884</c:v>
                </c:pt>
                <c:pt idx="13">
                  <c:v>4.3986124565074611</c:v>
                </c:pt>
                <c:pt idx="14">
                  <c:v>3.5377399310878914</c:v>
                </c:pt>
                <c:pt idx="15">
                  <c:v>2.2855274305270221</c:v>
                </c:pt>
                <c:pt idx="16">
                  <c:v>0.59989469605191914</c:v>
                </c:pt>
                <c:pt idx="17">
                  <c:v>-1.5612385311103907</c:v>
                </c:pt>
                <c:pt idx="18">
                  <c:v>-4.2399525097328379</c:v>
                </c:pt>
                <c:pt idx="19">
                  <c:v>-7.478327498588385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D1-4128-AD82-193B2180C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315855"/>
        <c:axId val="296249727"/>
      </c:scatterChart>
      <c:valAx>
        <c:axId val="497315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6249727"/>
        <c:crosses val="autoZero"/>
        <c:crossBetween val="midCat"/>
      </c:valAx>
      <c:valAx>
        <c:axId val="2962497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731585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2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Лист!$D$5:$D$24</c:f>
              <c:numCache>
                <c:formatCode>General</c:formatCode>
                <c:ptCount val="20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  <c:pt idx="7">
                  <c:v>64</c:v>
                </c:pt>
                <c:pt idx="8">
                  <c:v>81</c:v>
                </c:pt>
                <c:pt idx="9">
                  <c:v>100</c:v>
                </c:pt>
                <c:pt idx="10">
                  <c:v>121</c:v>
                </c:pt>
                <c:pt idx="11">
                  <c:v>144</c:v>
                </c:pt>
                <c:pt idx="12">
                  <c:v>169</c:v>
                </c:pt>
                <c:pt idx="13">
                  <c:v>196</c:v>
                </c:pt>
                <c:pt idx="14">
                  <c:v>225</c:v>
                </c:pt>
                <c:pt idx="15">
                  <c:v>256</c:v>
                </c:pt>
                <c:pt idx="16">
                  <c:v>289</c:v>
                </c:pt>
                <c:pt idx="17">
                  <c:v>324</c:v>
                </c:pt>
                <c:pt idx="18">
                  <c:v>361</c:v>
                </c:pt>
                <c:pt idx="19">
                  <c:v>400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4E-497C-AA99-97F58D822F4C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Лист!$D$5:$D$24</c:f>
              <c:numCache>
                <c:formatCode>General</c:formatCode>
                <c:ptCount val="20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  <c:pt idx="7">
                  <c:v>64</c:v>
                </c:pt>
                <c:pt idx="8">
                  <c:v>81</c:v>
                </c:pt>
                <c:pt idx="9">
                  <c:v>100</c:v>
                </c:pt>
                <c:pt idx="10">
                  <c:v>121</c:v>
                </c:pt>
                <c:pt idx="11">
                  <c:v>144</c:v>
                </c:pt>
                <c:pt idx="12">
                  <c:v>169</c:v>
                </c:pt>
                <c:pt idx="13">
                  <c:v>196</c:v>
                </c:pt>
                <c:pt idx="14">
                  <c:v>225</c:v>
                </c:pt>
                <c:pt idx="15">
                  <c:v>256</c:v>
                </c:pt>
                <c:pt idx="16">
                  <c:v>289</c:v>
                </c:pt>
                <c:pt idx="17">
                  <c:v>324</c:v>
                </c:pt>
                <c:pt idx="18">
                  <c:v>361</c:v>
                </c:pt>
                <c:pt idx="19">
                  <c:v>400</c:v>
                </c:pt>
              </c:numCache>
            </c:numRef>
          </c:xVal>
          <c:yVal>
            <c:numRef>
              <c:f>'3'!$B$26:$B$45</c:f>
              <c:numCache>
                <c:formatCode>General</c:formatCode>
                <c:ptCount val="20"/>
                <c:pt idx="0">
                  <c:v>-0.7585106615113556</c:v>
                </c:pt>
                <c:pt idx="1">
                  <c:v>-0.4221184007819761</c:v>
                </c:pt>
                <c:pt idx="2">
                  <c:v>8.5085607031046812E-2</c:v>
                </c:pt>
                <c:pt idx="3">
                  <c:v>0.71936974005285048</c:v>
                </c:pt>
                <c:pt idx="4">
                  <c:v>1.4370023764085726</c:v>
                </c:pt>
                <c:pt idx="5">
                  <c:v>2.1942518942233518</c:v>
                </c:pt>
                <c:pt idx="6">
                  <c:v>2.9473866716223234</c:v>
                </c:pt>
                <c:pt idx="7">
                  <c:v>3.6526750867306266</c:v>
                </c:pt>
                <c:pt idx="8">
                  <c:v>4.266385517673398</c:v>
                </c:pt>
                <c:pt idx="9">
                  <c:v>4.744786342575777</c:v>
                </c:pt>
                <c:pt idx="10">
                  <c:v>5.0441459395629007</c:v>
                </c:pt>
                <c:pt idx="11">
                  <c:v>5.1207326867599061</c:v>
                </c:pt>
                <c:pt idx="12">
                  <c:v>4.9308149622919295</c:v>
                </c:pt>
                <c:pt idx="13">
                  <c:v>4.4306611442841088</c:v>
                </c:pt>
                <c:pt idx="14">
                  <c:v>3.5765396108615803</c:v>
                </c:pt>
                <c:pt idx="15">
                  <c:v>2.3247187401494926</c:v>
                </c:pt>
                <c:pt idx="16">
                  <c:v>0.63146691027295532</c:v>
                </c:pt>
                <c:pt idx="17">
                  <c:v>-1.546947500642851</c:v>
                </c:pt>
                <c:pt idx="18">
                  <c:v>-4.254256114472831</c:v>
                </c:pt>
                <c:pt idx="19">
                  <c:v>-7.5341905530918183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64E-497C-AA99-97F58D822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1392495"/>
        <c:axId val="361364527"/>
      </c:scatterChart>
      <c:valAx>
        <c:axId val="361392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61364527"/>
        <c:crosses val="autoZero"/>
        <c:crossBetween val="midCat"/>
      </c:valAx>
      <c:valAx>
        <c:axId val="3613645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6139249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3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Лист!$E$5:$E$24</c:f>
              <c:numCache>
                <c:formatCode>General</c:formatCode>
                <c:ptCount val="20"/>
                <c:pt idx="0">
                  <c:v>1</c:v>
                </c:pt>
                <c:pt idx="1">
                  <c:v>8</c:v>
                </c:pt>
                <c:pt idx="2">
                  <c:v>27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729</c:v>
                </c:pt>
                <c:pt idx="9">
                  <c:v>1000</c:v>
                </c:pt>
                <c:pt idx="10">
                  <c:v>1331</c:v>
                </c:pt>
                <c:pt idx="11">
                  <c:v>1728</c:v>
                </c:pt>
                <c:pt idx="12">
                  <c:v>2197</c:v>
                </c:pt>
                <c:pt idx="13">
                  <c:v>2744</c:v>
                </c:pt>
                <c:pt idx="14">
                  <c:v>3375</c:v>
                </c:pt>
                <c:pt idx="15">
                  <c:v>4096</c:v>
                </c:pt>
                <c:pt idx="16">
                  <c:v>4913</c:v>
                </c:pt>
                <c:pt idx="17">
                  <c:v>5832</c:v>
                </c:pt>
                <c:pt idx="18">
                  <c:v>6859</c:v>
                </c:pt>
                <c:pt idx="19">
                  <c:v>8000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00-4741-AED0-72826B4B0C55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Лист!$E$5:$E$24</c:f>
              <c:numCache>
                <c:formatCode>General</c:formatCode>
                <c:ptCount val="20"/>
                <c:pt idx="0">
                  <c:v>1</c:v>
                </c:pt>
                <c:pt idx="1">
                  <c:v>8</c:v>
                </c:pt>
                <c:pt idx="2">
                  <c:v>27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729</c:v>
                </c:pt>
                <c:pt idx="9">
                  <c:v>1000</c:v>
                </c:pt>
                <c:pt idx="10">
                  <c:v>1331</c:v>
                </c:pt>
                <c:pt idx="11">
                  <c:v>1728</c:v>
                </c:pt>
                <c:pt idx="12">
                  <c:v>2197</c:v>
                </c:pt>
                <c:pt idx="13">
                  <c:v>2744</c:v>
                </c:pt>
                <c:pt idx="14">
                  <c:v>3375</c:v>
                </c:pt>
                <c:pt idx="15">
                  <c:v>4096</c:v>
                </c:pt>
                <c:pt idx="16">
                  <c:v>4913</c:v>
                </c:pt>
                <c:pt idx="17">
                  <c:v>5832</c:v>
                </c:pt>
                <c:pt idx="18">
                  <c:v>6859</c:v>
                </c:pt>
                <c:pt idx="19">
                  <c:v>8000</c:v>
                </c:pt>
              </c:numCache>
            </c:numRef>
          </c:xVal>
          <c:yVal>
            <c:numRef>
              <c:f>'3'!$B$26:$B$45</c:f>
              <c:numCache>
                <c:formatCode>General</c:formatCode>
                <c:ptCount val="20"/>
                <c:pt idx="0">
                  <c:v>-0.7585106615113556</c:v>
                </c:pt>
                <c:pt idx="1">
                  <c:v>-0.4221184007819761</c:v>
                </c:pt>
                <c:pt idx="2">
                  <c:v>8.5085607031046812E-2</c:v>
                </c:pt>
                <c:pt idx="3">
                  <c:v>0.71936974005285048</c:v>
                </c:pt>
                <c:pt idx="4">
                  <c:v>1.4370023764085726</c:v>
                </c:pt>
                <c:pt idx="5">
                  <c:v>2.1942518942233518</c:v>
                </c:pt>
                <c:pt idx="6">
                  <c:v>2.9473866716223234</c:v>
                </c:pt>
                <c:pt idx="7">
                  <c:v>3.6526750867306266</c:v>
                </c:pt>
                <c:pt idx="8">
                  <c:v>4.266385517673398</c:v>
                </c:pt>
                <c:pt idx="9">
                  <c:v>4.744786342575777</c:v>
                </c:pt>
                <c:pt idx="10">
                  <c:v>5.0441459395629007</c:v>
                </c:pt>
                <c:pt idx="11">
                  <c:v>5.1207326867599061</c:v>
                </c:pt>
                <c:pt idx="12">
                  <c:v>4.9308149622919295</c:v>
                </c:pt>
                <c:pt idx="13">
                  <c:v>4.4306611442841088</c:v>
                </c:pt>
                <c:pt idx="14">
                  <c:v>3.5765396108615803</c:v>
                </c:pt>
                <c:pt idx="15">
                  <c:v>2.3247187401494926</c:v>
                </c:pt>
                <c:pt idx="16">
                  <c:v>0.63146691027295532</c:v>
                </c:pt>
                <c:pt idx="17">
                  <c:v>-1.546947500642851</c:v>
                </c:pt>
                <c:pt idx="18">
                  <c:v>-4.254256114472831</c:v>
                </c:pt>
                <c:pt idx="19">
                  <c:v>-7.5341905530918183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E00-4741-AED0-72826B4B0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985631"/>
        <c:axId val="2136807519"/>
      </c:scatterChart>
      <c:valAx>
        <c:axId val="495985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36807519"/>
        <c:crosses val="autoZero"/>
        <c:crossBetween val="midCat"/>
      </c:valAx>
      <c:valAx>
        <c:axId val="21368075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598563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1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Лист!$C$5:$C$24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E3-4256-A59A-7C6091CD57EC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Лист!$C$5:$C$24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'4'!$B$28:$B$47</c:f>
              <c:numCache>
                <c:formatCode>General</c:formatCode>
                <c:ptCount val="20"/>
                <c:pt idx="0">
                  <c:v>1.139949181253568</c:v>
                </c:pt>
                <c:pt idx="1">
                  <c:v>-0.58429552141220809</c:v>
                </c:pt>
                <c:pt idx="2">
                  <c:v>-1.0920926822986281</c:v>
                </c:pt>
                <c:pt idx="3">
                  <c:v>-0.71670722959456601</c:v>
                </c:pt>
                <c:pt idx="4">
                  <c:v>0.24499399218808815</c:v>
                </c:pt>
                <c:pt idx="5">
                  <c:v>1.5325422222144427</c:v>
                </c:pt>
                <c:pt idx="6">
                  <c:v>2.9218667833265934</c:v>
                </c:pt>
                <c:pt idx="7">
                  <c:v>4.2252950820436288</c:v>
                </c:pt>
                <c:pt idx="8">
                  <c:v>5.2915526085616253</c:v>
                </c:pt>
                <c:pt idx="9">
                  <c:v>6.0057629367536336</c:v>
                </c:pt>
                <c:pt idx="10">
                  <c:v>6.2894477241697615</c:v>
                </c:pt>
                <c:pt idx="11">
                  <c:v>6.100526712036995</c:v>
                </c:pt>
                <c:pt idx="12">
                  <c:v>5.4333177252594496</c:v>
                </c:pt>
                <c:pt idx="13">
                  <c:v>4.3185366724180625</c:v>
                </c:pt>
                <c:pt idx="14">
                  <c:v>2.8232975457709131</c:v>
                </c:pt>
                <c:pt idx="15">
                  <c:v>1.0511124212530802</c:v>
                </c:pt>
                <c:pt idx="16">
                  <c:v>-0.85810854152362026</c:v>
                </c:pt>
                <c:pt idx="17">
                  <c:v>-2.7280570992699325</c:v>
                </c:pt>
                <c:pt idx="18">
                  <c:v>-4.3460269250201122</c:v>
                </c:pt>
                <c:pt idx="19">
                  <c:v>-5.4629136081310889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0E3-4256-A59A-7C6091CD5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493679"/>
        <c:axId val="2136792127"/>
      </c:scatterChart>
      <c:valAx>
        <c:axId val="499493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36792127"/>
        <c:crosses val="autoZero"/>
        <c:crossBetween val="midCat"/>
      </c:valAx>
      <c:valAx>
        <c:axId val="21367921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94936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2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Лист!$D$5:$D$24</c:f>
              <c:numCache>
                <c:formatCode>General</c:formatCode>
                <c:ptCount val="20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  <c:pt idx="7">
                  <c:v>64</c:v>
                </c:pt>
                <c:pt idx="8">
                  <c:v>81</c:v>
                </c:pt>
                <c:pt idx="9">
                  <c:v>100</c:v>
                </c:pt>
                <c:pt idx="10">
                  <c:v>121</c:v>
                </c:pt>
                <c:pt idx="11">
                  <c:v>144</c:v>
                </c:pt>
                <c:pt idx="12">
                  <c:v>169</c:v>
                </c:pt>
                <c:pt idx="13">
                  <c:v>196</c:v>
                </c:pt>
                <c:pt idx="14">
                  <c:v>225</c:v>
                </c:pt>
                <c:pt idx="15">
                  <c:v>256</c:v>
                </c:pt>
                <c:pt idx="16">
                  <c:v>289</c:v>
                </c:pt>
                <c:pt idx="17">
                  <c:v>324</c:v>
                </c:pt>
                <c:pt idx="18">
                  <c:v>361</c:v>
                </c:pt>
                <c:pt idx="19">
                  <c:v>400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C99-4828-8D7C-EB24582066EC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Лист!$D$5:$D$24</c:f>
              <c:numCache>
                <c:formatCode>General</c:formatCode>
                <c:ptCount val="20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  <c:pt idx="7">
                  <c:v>64</c:v>
                </c:pt>
                <c:pt idx="8">
                  <c:v>81</c:v>
                </c:pt>
                <c:pt idx="9">
                  <c:v>100</c:v>
                </c:pt>
                <c:pt idx="10">
                  <c:v>121</c:v>
                </c:pt>
                <c:pt idx="11">
                  <c:v>144</c:v>
                </c:pt>
                <c:pt idx="12">
                  <c:v>169</c:v>
                </c:pt>
                <c:pt idx="13">
                  <c:v>196</c:v>
                </c:pt>
                <c:pt idx="14">
                  <c:v>225</c:v>
                </c:pt>
                <c:pt idx="15">
                  <c:v>256</c:v>
                </c:pt>
                <c:pt idx="16">
                  <c:v>289</c:v>
                </c:pt>
                <c:pt idx="17">
                  <c:v>324</c:v>
                </c:pt>
                <c:pt idx="18">
                  <c:v>361</c:v>
                </c:pt>
                <c:pt idx="19">
                  <c:v>400</c:v>
                </c:pt>
              </c:numCache>
            </c:numRef>
          </c:xVal>
          <c:yVal>
            <c:numRef>
              <c:f>'4'!$B$28:$B$47</c:f>
              <c:numCache>
                <c:formatCode>General</c:formatCode>
                <c:ptCount val="20"/>
                <c:pt idx="0">
                  <c:v>1.139949181253568</c:v>
                </c:pt>
                <c:pt idx="1">
                  <c:v>-0.58429552141220809</c:v>
                </c:pt>
                <c:pt idx="2">
                  <c:v>-1.0920926822986281</c:v>
                </c:pt>
                <c:pt idx="3">
                  <c:v>-0.71670722959456601</c:v>
                </c:pt>
                <c:pt idx="4">
                  <c:v>0.24499399218808815</c:v>
                </c:pt>
                <c:pt idx="5">
                  <c:v>1.5325422222144427</c:v>
                </c:pt>
                <c:pt idx="6">
                  <c:v>2.9218667833265934</c:v>
                </c:pt>
                <c:pt idx="7">
                  <c:v>4.2252950820436288</c:v>
                </c:pt>
                <c:pt idx="8">
                  <c:v>5.2915526085616253</c:v>
                </c:pt>
                <c:pt idx="9">
                  <c:v>6.0057629367536336</c:v>
                </c:pt>
                <c:pt idx="10">
                  <c:v>6.2894477241697615</c:v>
                </c:pt>
                <c:pt idx="11">
                  <c:v>6.100526712036995</c:v>
                </c:pt>
                <c:pt idx="12">
                  <c:v>5.4333177252594496</c:v>
                </c:pt>
                <c:pt idx="13">
                  <c:v>4.3185366724180625</c:v>
                </c:pt>
                <c:pt idx="14">
                  <c:v>2.8232975457709131</c:v>
                </c:pt>
                <c:pt idx="15">
                  <c:v>1.0511124212530802</c:v>
                </c:pt>
                <c:pt idx="16">
                  <c:v>-0.85810854152362026</c:v>
                </c:pt>
                <c:pt idx="17">
                  <c:v>-2.7280570992699325</c:v>
                </c:pt>
                <c:pt idx="18">
                  <c:v>-4.3460269250201122</c:v>
                </c:pt>
                <c:pt idx="19">
                  <c:v>-5.4629136081310889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C99-4828-8D7C-EB2458206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301839"/>
        <c:axId val="296248479"/>
      </c:scatterChart>
      <c:valAx>
        <c:axId val="504301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6248479"/>
        <c:crosses val="autoZero"/>
        <c:crossBetween val="midCat"/>
      </c:valAx>
      <c:valAx>
        <c:axId val="2962484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30183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3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Лист!$E$5:$E$24</c:f>
              <c:numCache>
                <c:formatCode>General</c:formatCode>
                <c:ptCount val="20"/>
                <c:pt idx="0">
                  <c:v>1</c:v>
                </c:pt>
                <c:pt idx="1">
                  <c:v>8</c:v>
                </c:pt>
                <c:pt idx="2">
                  <c:v>27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729</c:v>
                </c:pt>
                <c:pt idx="9">
                  <c:v>1000</c:v>
                </c:pt>
                <c:pt idx="10">
                  <c:v>1331</c:v>
                </c:pt>
                <c:pt idx="11">
                  <c:v>1728</c:v>
                </c:pt>
                <c:pt idx="12">
                  <c:v>2197</c:v>
                </c:pt>
                <c:pt idx="13">
                  <c:v>2744</c:v>
                </c:pt>
                <c:pt idx="14">
                  <c:v>3375</c:v>
                </c:pt>
                <c:pt idx="15">
                  <c:v>4096</c:v>
                </c:pt>
                <c:pt idx="16">
                  <c:v>4913</c:v>
                </c:pt>
                <c:pt idx="17">
                  <c:v>5832</c:v>
                </c:pt>
                <c:pt idx="18">
                  <c:v>6859</c:v>
                </c:pt>
                <c:pt idx="19">
                  <c:v>8000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DB-43D1-B3FF-80BD81781714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Лист!$E$5:$E$24</c:f>
              <c:numCache>
                <c:formatCode>General</c:formatCode>
                <c:ptCount val="20"/>
                <c:pt idx="0">
                  <c:v>1</c:v>
                </c:pt>
                <c:pt idx="1">
                  <c:v>8</c:v>
                </c:pt>
                <c:pt idx="2">
                  <c:v>27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729</c:v>
                </c:pt>
                <c:pt idx="9">
                  <c:v>1000</c:v>
                </c:pt>
                <c:pt idx="10">
                  <c:v>1331</c:v>
                </c:pt>
                <c:pt idx="11">
                  <c:v>1728</c:v>
                </c:pt>
                <c:pt idx="12">
                  <c:v>2197</c:v>
                </c:pt>
                <c:pt idx="13">
                  <c:v>2744</c:v>
                </c:pt>
                <c:pt idx="14">
                  <c:v>3375</c:v>
                </c:pt>
                <c:pt idx="15">
                  <c:v>4096</c:v>
                </c:pt>
                <c:pt idx="16">
                  <c:v>4913</c:v>
                </c:pt>
                <c:pt idx="17">
                  <c:v>5832</c:v>
                </c:pt>
                <c:pt idx="18">
                  <c:v>6859</c:v>
                </c:pt>
                <c:pt idx="19">
                  <c:v>8000</c:v>
                </c:pt>
              </c:numCache>
            </c:numRef>
          </c:xVal>
          <c:yVal>
            <c:numRef>
              <c:f>'4'!$B$28:$B$47</c:f>
              <c:numCache>
                <c:formatCode>General</c:formatCode>
                <c:ptCount val="20"/>
                <c:pt idx="0">
                  <c:v>1.139949181253568</c:v>
                </c:pt>
                <c:pt idx="1">
                  <c:v>-0.58429552141220809</c:v>
                </c:pt>
                <c:pt idx="2">
                  <c:v>-1.0920926822986281</c:v>
                </c:pt>
                <c:pt idx="3">
                  <c:v>-0.71670722959456601</c:v>
                </c:pt>
                <c:pt idx="4">
                  <c:v>0.24499399218808815</c:v>
                </c:pt>
                <c:pt idx="5">
                  <c:v>1.5325422222144427</c:v>
                </c:pt>
                <c:pt idx="6">
                  <c:v>2.9218667833265934</c:v>
                </c:pt>
                <c:pt idx="7">
                  <c:v>4.2252950820436288</c:v>
                </c:pt>
                <c:pt idx="8">
                  <c:v>5.2915526085616253</c:v>
                </c:pt>
                <c:pt idx="9">
                  <c:v>6.0057629367536336</c:v>
                </c:pt>
                <c:pt idx="10">
                  <c:v>6.2894477241697615</c:v>
                </c:pt>
                <c:pt idx="11">
                  <c:v>6.100526712036995</c:v>
                </c:pt>
                <c:pt idx="12">
                  <c:v>5.4333177252594496</c:v>
                </c:pt>
                <c:pt idx="13">
                  <c:v>4.3185366724180625</c:v>
                </c:pt>
                <c:pt idx="14">
                  <c:v>2.8232975457709131</c:v>
                </c:pt>
                <c:pt idx="15">
                  <c:v>1.0511124212530802</c:v>
                </c:pt>
                <c:pt idx="16">
                  <c:v>-0.85810854152362026</c:v>
                </c:pt>
                <c:pt idx="17">
                  <c:v>-2.7280570992699325</c:v>
                </c:pt>
                <c:pt idx="18">
                  <c:v>-4.3460269250201122</c:v>
                </c:pt>
                <c:pt idx="19">
                  <c:v>-5.4629136081310889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8DB-43D1-B3FF-80BD81781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092543"/>
        <c:axId val="504371599"/>
      </c:scatterChart>
      <c:valAx>
        <c:axId val="496092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371599"/>
        <c:crosses val="autoZero"/>
        <c:crossBetween val="midCat"/>
      </c:valAx>
      <c:valAx>
        <c:axId val="5043715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609254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4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Лист!$F$5:$F$24</c:f>
              <c:numCache>
                <c:formatCode>General</c:formatCode>
                <c:ptCount val="20"/>
                <c:pt idx="0">
                  <c:v>1</c:v>
                </c:pt>
                <c:pt idx="1">
                  <c:v>16</c:v>
                </c:pt>
                <c:pt idx="2">
                  <c:v>81</c:v>
                </c:pt>
                <c:pt idx="3">
                  <c:v>256</c:v>
                </c:pt>
                <c:pt idx="4">
                  <c:v>625</c:v>
                </c:pt>
                <c:pt idx="5">
                  <c:v>1296</c:v>
                </c:pt>
                <c:pt idx="6">
                  <c:v>2401</c:v>
                </c:pt>
                <c:pt idx="7">
                  <c:v>4096</c:v>
                </c:pt>
                <c:pt idx="8">
                  <c:v>6561</c:v>
                </c:pt>
                <c:pt idx="9">
                  <c:v>10000</c:v>
                </c:pt>
                <c:pt idx="10">
                  <c:v>14641</c:v>
                </c:pt>
                <c:pt idx="11">
                  <c:v>20736</c:v>
                </c:pt>
                <c:pt idx="12">
                  <c:v>28561</c:v>
                </c:pt>
                <c:pt idx="13">
                  <c:v>38416</c:v>
                </c:pt>
                <c:pt idx="14">
                  <c:v>50625</c:v>
                </c:pt>
                <c:pt idx="15">
                  <c:v>65536</c:v>
                </c:pt>
                <c:pt idx="16">
                  <c:v>83521</c:v>
                </c:pt>
                <c:pt idx="17">
                  <c:v>104976</c:v>
                </c:pt>
                <c:pt idx="18">
                  <c:v>130321</c:v>
                </c:pt>
                <c:pt idx="19">
                  <c:v>160000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B3-4DE5-A310-3E5B65073304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Лист!$F$5:$F$24</c:f>
              <c:numCache>
                <c:formatCode>General</c:formatCode>
                <c:ptCount val="20"/>
                <c:pt idx="0">
                  <c:v>1</c:v>
                </c:pt>
                <c:pt idx="1">
                  <c:v>16</c:v>
                </c:pt>
                <c:pt idx="2">
                  <c:v>81</c:v>
                </c:pt>
                <c:pt idx="3">
                  <c:v>256</c:v>
                </c:pt>
                <c:pt idx="4">
                  <c:v>625</c:v>
                </c:pt>
                <c:pt idx="5">
                  <c:v>1296</c:v>
                </c:pt>
                <c:pt idx="6">
                  <c:v>2401</c:v>
                </c:pt>
                <c:pt idx="7">
                  <c:v>4096</c:v>
                </c:pt>
                <c:pt idx="8">
                  <c:v>6561</c:v>
                </c:pt>
                <c:pt idx="9">
                  <c:v>10000</c:v>
                </c:pt>
                <c:pt idx="10">
                  <c:v>14641</c:v>
                </c:pt>
                <c:pt idx="11">
                  <c:v>20736</c:v>
                </c:pt>
                <c:pt idx="12">
                  <c:v>28561</c:v>
                </c:pt>
                <c:pt idx="13">
                  <c:v>38416</c:v>
                </c:pt>
                <c:pt idx="14">
                  <c:v>50625</c:v>
                </c:pt>
                <c:pt idx="15">
                  <c:v>65536</c:v>
                </c:pt>
                <c:pt idx="16">
                  <c:v>83521</c:v>
                </c:pt>
                <c:pt idx="17">
                  <c:v>104976</c:v>
                </c:pt>
                <c:pt idx="18">
                  <c:v>130321</c:v>
                </c:pt>
                <c:pt idx="19">
                  <c:v>160000</c:v>
                </c:pt>
              </c:numCache>
            </c:numRef>
          </c:xVal>
          <c:yVal>
            <c:numRef>
              <c:f>'4'!$B$28:$B$47</c:f>
              <c:numCache>
                <c:formatCode>General</c:formatCode>
                <c:ptCount val="20"/>
                <c:pt idx="0">
                  <c:v>1.139949181253568</c:v>
                </c:pt>
                <c:pt idx="1">
                  <c:v>-0.58429552141220809</c:v>
                </c:pt>
                <c:pt idx="2">
                  <c:v>-1.0920926822986281</c:v>
                </c:pt>
                <c:pt idx="3">
                  <c:v>-0.71670722959456601</c:v>
                </c:pt>
                <c:pt idx="4">
                  <c:v>0.24499399218808815</c:v>
                </c:pt>
                <c:pt idx="5">
                  <c:v>1.5325422222144427</c:v>
                </c:pt>
                <c:pt idx="6">
                  <c:v>2.9218667833265934</c:v>
                </c:pt>
                <c:pt idx="7">
                  <c:v>4.2252950820436288</c:v>
                </c:pt>
                <c:pt idx="8">
                  <c:v>5.2915526085616253</c:v>
                </c:pt>
                <c:pt idx="9">
                  <c:v>6.0057629367536336</c:v>
                </c:pt>
                <c:pt idx="10">
                  <c:v>6.2894477241697615</c:v>
                </c:pt>
                <c:pt idx="11">
                  <c:v>6.100526712036995</c:v>
                </c:pt>
                <c:pt idx="12">
                  <c:v>5.4333177252594496</c:v>
                </c:pt>
                <c:pt idx="13">
                  <c:v>4.3185366724180625</c:v>
                </c:pt>
                <c:pt idx="14">
                  <c:v>2.8232975457709131</c:v>
                </c:pt>
                <c:pt idx="15">
                  <c:v>1.0511124212530802</c:v>
                </c:pt>
                <c:pt idx="16">
                  <c:v>-0.85810854152362026</c:v>
                </c:pt>
                <c:pt idx="17">
                  <c:v>-2.7280570992699325</c:v>
                </c:pt>
                <c:pt idx="18">
                  <c:v>-4.3460269250201122</c:v>
                </c:pt>
                <c:pt idx="19">
                  <c:v>-5.4629136081310889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B3-4DE5-A310-3E5B65073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700639"/>
        <c:axId val="202356287"/>
      </c:scatterChart>
      <c:valAx>
        <c:axId val="432700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4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2356287"/>
        <c:crosses val="autoZero"/>
        <c:crossBetween val="midCat"/>
      </c:valAx>
      <c:valAx>
        <c:axId val="2023562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270063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1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Лист!$C$5:$C$24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1A7-4AF1-82FF-07B19D28CE90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Лист!$C$5:$C$24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'5'!$B$29:$B$48</c:f>
              <c:numCache>
                <c:formatCode>General</c:formatCode>
                <c:ptCount val="20"/>
                <c:pt idx="0">
                  <c:v>0.17607588932813706</c:v>
                </c:pt>
                <c:pt idx="1">
                  <c:v>-2.6263615560599397E-2</c:v>
                </c:pt>
                <c:pt idx="2">
                  <c:v>-0.19585962138545304</c:v>
                </c:pt>
                <c:pt idx="3">
                  <c:v>-0.10893985976331491</c:v>
                </c:pt>
                <c:pt idx="4">
                  <c:v>0.33799930983004667</c:v>
                </c:pt>
                <c:pt idx="5">
                  <c:v>1.1490817949314298</c:v>
                </c:pt>
                <c:pt idx="6">
                  <c:v>2.2499406649616494</c:v>
                </c:pt>
                <c:pt idx="7">
                  <c:v>3.5086070460969969</c:v>
                </c:pt>
                <c:pt idx="8">
                  <c:v>4.7563990161406817</c:v>
                </c:pt>
                <c:pt idx="9">
                  <c:v>5.8088104993942622</c:v>
                </c:pt>
                <c:pt idx="10">
                  <c:v>6.4864001615291293</c:v>
                </c:pt>
                <c:pt idx="11">
                  <c:v>6.6356803044579351</c:v>
                </c:pt>
                <c:pt idx="12">
                  <c:v>6.1500057612060459</c:v>
                </c:pt>
                <c:pt idx="13">
                  <c:v>4.9904627907830132</c:v>
                </c:pt>
                <c:pt idx="14">
                  <c:v>3.2067579730540103</c:v>
                </c:pt>
                <c:pt idx="15">
                  <c:v>0.95810710361112683</c:v>
                </c:pt>
                <c:pt idx="16">
                  <c:v>-1.4658759113547148</c:v>
                </c:pt>
                <c:pt idx="17">
                  <c:v>-3.6242901601829658</c:v>
                </c:pt>
                <c:pt idx="18">
                  <c:v>-4.9040588308716906</c:v>
                </c:pt>
                <c:pt idx="19">
                  <c:v>-4.4990403162053099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1A7-4AF1-82FF-07B19D28C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473279"/>
        <c:axId val="2136807103"/>
      </c:scatterChart>
      <c:valAx>
        <c:axId val="499473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36807103"/>
        <c:crosses val="autoZero"/>
        <c:crossBetween val="midCat"/>
      </c:valAx>
      <c:valAx>
        <c:axId val="21368071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94732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2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Лист!$D$5:$D$24</c:f>
              <c:numCache>
                <c:formatCode>General</c:formatCode>
                <c:ptCount val="20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  <c:pt idx="7">
                  <c:v>64</c:v>
                </c:pt>
                <c:pt idx="8">
                  <c:v>81</c:v>
                </c:pt>
                <c:pt idx="9">
                  <c:v>100</c:v>
                </c:pt>
                <c:pt idx="10">
                  <c:v>121</c:v>
                </c:pt>
                <c:pt idx="11">
                  <c:v>144</c:v>
                </c:pt>
                <c:pt idx="12">
                  <c:v>169</c:v>
                </c:pt>
                <c:pt idx="13">
                  <c:v>196</c:v>
                </c:pt>
                <c:pt idx="14">
                  <c:v>225</c:v>
                </c:pt>
                <c:pt idx="15">
                  <c:v>256</c:v>
                </c:pt>
                <c:pt idx="16">
                  <c:v>289</c:v>
                </c:pt>
                <c:pt idx="17">
                  <c:v>324</c:v>
                </c:pt>
                <c:pt idx="18">
                  <c:v>361</c:v>
                </c:pt>
                <c:pt idx="19">
                  <c:v>400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972-4C54-8E1E-9474679D8DF0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Лист!$D$5:$D$24</c:f>
              <c:numCache>
                <c:formatCode>General</c:formatCode>
                <c:ptCount val="20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  <c:pt idx="7">
                  <c:v>64</c:v>
                </c:pt>
                <c:pt idx="8">
                  <c:v>81</c:v>
                </c:pt>
                <c:pt idx="9">
                  <c:v>100</c:v>
                </c:pt>
                <c:pt idx="10">
                  <c:v>121</c:v>
                </c:pt>
                <c:pt idx="11">
                  <c:v>144</c:v>
                </c:pt>
                <c:pt idx="12">
                  <c:v>169</c:v>
                </c:pt>
                <c:pt idx="13">
                  <c:v>196</c:v>
                </c:pt>
                <c:pt idx="14">
                  <c:v>225</c:v>
                </c:pt>
                <c:pt idx="15">
                  <c:v>256</c:v>
                </c:pt>
                <c:pt idx="16">
                  <c:v>289</c:v>
                </c:pt>
                <c:pt idx="17">
                  <c:v>324</c:v>
                </c:pt>
                <c:pt idx="18">
                  <c:v>361</c:v>
                </c:pt>
                <c:pt idx="19">
                  <c:v>400</c:v>
                </c:pt>
              </c:numCache>
            </c:numRef>
          </c:xVal>
          <c:yVal>
            <c:numRef>
              <c:f>'5'!$B$29:$B$48</c:f>
              <c:numCache>
                <c:formatCode>General</c:formatCode>
                <c:ptCount val="20"/>
                <c:pt idx="0">
                  <c:v>0.17607588932813706</c:v>
                </c:pt>
                <c:pt idx="1">
                  <c:v>-2.6263615560599397E-2</c:v>
                </c:pt>
                <c:pt idx="2">
                  <c:v>-0.19585962138545304</c:v>
                </c:pt>
                <c:pt idx="3">
                  <c:v>-0.10893985976331491</c:v>
                </c:pt>
                <c:pt idx="4">
                  <c:v>0.33799930983004667</c:v>
                </c:pt>
                <c:pt idx="5">
                  <c:v>1.1490817949314298</c:v>
                </c:pt>
                <c:pt idx="6">
                  <c:v>2.2499406649616494</c:v>
                </c:pt>
                <c:pt idx="7">
                  <c:v>3.5086070460969969</c:v>
                </c:pt>
                <c:pt idx="8">
                  <c:v>4.7563990161406817</c:v>
                </c:pt>
                <c:pt idx="9">
                  <c:v>5.8088104993942622</c:v>
                </c:pt>
                <c:pt idx="10">
                  <c:v>6.4864001615291293</c:v>
                </c:pt>
                <c:pt idx="11">
                  <c:v>6.6356803044579351</c:v>
                </c:pt>
                <c:pt idx="12">
                  <c:v>6.1500057612060459</c:v>
                </c:pt>
                <c:pt idx="13">
                  <c:v>4.9904627907830132</c:v>
                </c:pt>
                <c:pt idx="14">
                  <c:v>3.2067579730540103</c:v>
                </c:pt>
                <c:pt idx="15">
                  <c:v>0.95810710361112683</c:v>
                </c:pt>
                <c:pt idx="16">
                  <c:v>-1.4658759113547148</c:v>
                </c:pt>
                <c:pt idx="17">
                  <c:v>-3.6242901601829658</c:v>
                </c:pt>
                <c:pt idx="18">
                  <c:v>-4.9040588308716906</c:v>
                </c:pt>
                <c:pt idx="19">
                  <c:v>-4.4990403162053099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972-4C54-8E1E-9474679D8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484479"/>
        <c:axId val="2136811679"/>
      </c:scatterChart>
      <c:valAx>
        <c:axId val="499484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36811679"/>
        <c:crosses val="autoZero"/>
        <c:crossBetween val="midCat"/>
      </c:valAx>
      <c:valAx>
        <c:axId val="21368116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94844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3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Лист!$E$5:$E$24</c:f>
              <c:numCache>
                <c:formatCode>General</c:formatCode>
                <c:ptCount val="20"/>
                <c:pt idx="0">
                  <c:v>1</c:v>
                </c:pt>
                <c:pt idx="1">
                  <c:v>8</c:v>
                </c:pt>
                <c:pt idx="2">
                  <c:v>27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729</c:v>
                </c:pt>
                <c:pt idx="9">
                  <c:v>1000</c:v>
                </c:pt>
                <c:pt idx="10">
                  <c:v>1331</c:v>
                </c:pt>
                <c:pt idx="11">
                  <c:v>1728</c:v>
                </c:pt>
                <c:pt idx="12">
                  <c:v>2197</c:v>
                </c:pt>
                <c:pt idx="13">
                  <c:v>2744</c:v>
                </c:pt>
                <c:pt idx="14">
                  <c:v>3375</c:v>
                </c:pt>
                <c:pt idx="15">
                  <c:v>4096</c:v>
                </c:pt>
                <c:pt idx="16">
                  <c:v>4913</c:v>
                </c:pt>
                <c:pt idx="17">
                  <c:v>5832</c:v>
                </c:pt>
                <c:pt idx="18">
                  <c:v>6859</c:v>
                </c:pt>
                <c:pt idx="19">
                  <c:v>8000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136-4FDA-A0C7-29626684401F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Лист!$E$5:$E$24</c:f>
              <c:numCache>
                <c:formatCode>General</c:formatCode>
                <c:ptCount val="20"/>
                <c:pt idx="0">
                  <c:v>1</c:v>
                </c:pt>
                <c:pt idx="1">
                  <c:v>8</c:v>
                </c:pt>
                <c:pt idx="2">
                  <c:v>27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729</c:v>
                </c:pt>
                <c:pt idx="9">
                  <c:v>1000</c:v>
                </c:pt>
                <c:pt idx="10">
                  <c:v>1331</c:v>
                </c:pt>
                <c:pt idx="11">
                  <c:v>1728</c:v>
                </c:pt>
                <c:pt idx="12">
                  <c:v>2197</c:v>
                </c:pt>
                <c:pt idx="13">
                  <c:v>2744</c:v>
                </c:pt>
                <c:pt idx="14">
                  <c:v>3375</c:v>
                </c:pt>
                <c:pt idx="15">
                  <c:v>4096</c:v>
                </c:pt>
                <c:pt idx="16">
                  <c:v>4913</c:v>
                </c:pt>
                <c:pt idx="17">
                  <c:v>5832</c:v>
                </c:pt>
                <c:pt idx="18">
                  <c:v>6859</c:v>
                </c:pt>
                <c:pt idx="19">
                  <c:v>8000</c:v>
                </c:pt>
              </c:numCache>
            </c:numRef>
          </c:xVal>
          <c:yVal>
            <c:numRef>
              <c:f>'5'!$B$29:$B$48</c:f>
              <c:numCache>
                <c:formatCode>General</c:formatCode>
                <c:ptCount val="20"/>
                <c:pt idx="0">
                  <c:v>0.17607588932813706</c:v>
                </c:pt>
                <c:pt idx="1">
                  <c:v>-2.6263615560599397E-2</c:v>
                </c:pt>
                <c:pt idx="2">
                  <c:v>-0.19585962138545304</c:v>
                </c:pt>
                <c:pt idx="3">
                  <c:v>-0.10893985976331491</c:v>
                </c:pt>
                <c:pt idx="4">
                  <c:v>0.33799930983004667</c:v>
                </c:pt>
                <c:pt idx="5">
                  <c:v>1.1490817949314298</c:v>
                </c:pt>
                <c:pt idx="6">
                  <c:v>2.2499406649616494</c:v>
                </c:pt>
                <c:pt idx="7">
                  <c:v>3.5086070460969969</c:v>
                </c:pt>
                <c:pt idx="8">
                  <c:v>4.7563990161406817</c:v>
                </c:pt>
                <c:pt idx="9">
                  <c:v>5.8088104993942622</c:v>
                </c:pt>
                <c:pt idx="10">
                  <c:v>6.4864001615291293</c:v>
                </c:pt>
                <c:pt idx="11">
                  <c:v>6.6356803044579351</c:v>
                </c:pt>
                <c:pt idx="12">
                  <c:v>6.1500057612060459</c:v>
                </c:pt>
                <c:pt idx="13">
                  <c:v>4.9904627907830132</c:v>
                </c:pt>
                <c:pt idx="14">
                  <c:v>3.2067579730540103</c:v>
                </c:pt>
                <c:pt idx="15">
                  <c:v>0.95810710361112683</c:v>
                </c:pt>
                <c:pt idx="16">
                  <c:v>-1.4658759113547148</c:v>
                </c:pt>
                <c:pt idx="17">
                  <c:v>-3.6242901601829658</c:v>
                </c:pt>
                <c:pt idx="18">
                  <c:v>-4.9040588308716906</c:v>
                </c:pt>
                <c:pt idx="19">
                  <c:v>-4.4990403162053099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136-4FDA-A0C7-296266844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096143"/>
        <c:axId val="504369519"/>
      </c:scatterChart>
      <c:valAx>
        <c:axId val="496096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369519"/>
        <c:crosses val="autoZero"/>
        <c:crossBetween val="midCat"/>
      </c:valAx>
      <c:valAx>
        <c:axId val="5043695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609614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4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Лист!$F$5:$F$24</c:f>
              <c:numCache>
                <c:formatCode>General</c:formatCode>
                <c:ptCount val="20"/>
                <c:pt idx="0">
                  <c:v>1</c:v>
                </c:pt>
                <c:pt idx="1">
                  <c:v>16</c:v>
                </c:pt>
                <c:pt idx="2">
                  <c:v>81</c:v>
                </c:pt>
                <c:pt idx="3">
                  <c:v>256</c:v>
                </c:pt>
                <c:pt idx="4">
                  <c:v>625</c:v>
                </c:pt>
                <c:pt idx="5">
                  <c:v>1296</c:v>
                </c:pt>
                <c:pt idx="6">
                  <c:v>2401</c:v>
                </c:pt>
                <c:pt idx="7">
                  <c:v>4096</c:v>
                </c:pt>
                <c:pt idx="8">
                  <c:v>6561</c:v>
                </c:pt>
                <c:pt idx="9">
                  <c:v>10000</c:v>
                </c:pt>
                <c:pt idx="10">
                  <c:v>14641</c:v>
                </c:pt>
                <c:pt idx="11">
                  <c:v>20736</c:v>
                </c:pt>
                <c:pt idx="12">
                  <c:v>28561</c:v>
                </c:pt>
                <c:pt idx="13">
                  <c:v>38416</c:v>
                </c:pt>
                <c:pt idx="14">
                  <c:v>50625</c:v>
                </c:pt>
                <c:pt idx="15">
                  <c:v>65536</c:v>
                </c:pt>
                <c:pt idx="16">
                  <c:v>83521</c:v>
                </c:pt>
                <c:pt idx="17">
                  <c:v>104976</c:v>
                </c:pt>
                <c:pt idx="18">
                  <c:v>130321</c:v>
                </c:pt>
                <c:pt idx="19">
                  <c:v>160000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78-4C09-B5B9-745A04D223E2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Лист!$F$5:$F$24</c:f>
              <c:numCache>
                <c:formatCode>General</c:formatCode>
                <c:ptCount val="20"/>
                <c:pt idx="0">
                  <c:v>1</c:v>
                </c:pt>
                <c:pt idx="1">
                  <c:v>16</c:v>
                </c:pt>
                <c:pt idx="2">
                  <c:v>81</c:v>
                </c:pt>
                <c:pt idx="3">
                  <c:v>256</c:v>
                </c:pt>
                <c:pt idx="4">
                  <c:v>625</c:v>
                </c:pt>
                <c:pt idx="5">
                  <c:v>1296</c:v>
                </c:pt>
                <c:pt idx="6">
                  <c:v>2401</c:v>
                </c:pt>
                <c:pt idx="7">
                  <c:v>4096</c:v>
                </c:pt>
                <c:pt idx="8">
                  <c:v>6561</c:v>
                </c:pt>
                <c:pt idx="9">
                  <c:v>10000</c:v>
                </c:pt>
                <c:pt idx="10">
                  <c:v>14641</c:v>
                </c:pt>
                <c:pt idx="11">
                  <c:v>20736</c:v>
                </c:pt>
                <c:pt idx="12">
                  <c:v>28561</c:v>
                </c:pt>
                <c:pt idx="13">
                  <c:v>38416</c:v>
                </c:pt>
                <c:pt idx="14">
                  <c:v>50625</c:v>
                </c:pt>
                <c:pt idx="15">
                  <c:v>65536</c:v>
                </c:pt>
                <c:pt idx="16">
                  <c:v>83521</c:v>
                </c:pt>
                <c:pt idx="17">
                  <c:v>104976</c:v>
                </c:pt>
                <c:pt idx="18">
                  <c:v>130321</c:v>
                </c:pt>
                <c:pt idx="19">
                  <c:v>160000</c:v>
                </c:pt>
              </c:numCache>
            </c:numRef>
          </c:xVal>
          <c:yVal>
            <c:numRef>
              <c:f>'5'!$B$29:$B$48</c:f>
              <c:numCache>
                <c:formatCode>General</c:formatCode>
                <c:ptCount val="20"/>
                <c:pt idx="0">
                  <c:v>0.17607588932813706</c:v>
                </c:pt>
                <c:pt idx="1">
                  <c:v>-2.6263615560599397E-2</c:v>
                </c:pt>
                <c:pt idx="2">
                  <c:v>-0.19585962138545304</c:v>
                </c:pt>
                <c:pt idx="3">
                  <c:v>-0.10893985976331491</c:v>
                </c:pt>
                <c:pt idx="4">
                  <c:v>0.33799930983004667</c:v>
                </c:pt>
                <c:pt idx="5">
                  <c:v>1.1490817949314298</c:v>
                </c:pt>
                <c:pt idx="6">
                  <c:v>2.2499406649616494</c:v>
                </c:pt>
                <c:pt idx="7">
                  <c:v>3.5086070460969969</c:v>
                </c:pt>
                <c:pt idx="8">
                  <c:v>4.7563990161406817</c:v>
                </c:pt>
                <c:pt idx="9">
                  <c:v>5.8088104993942622</c:v>
                </c:pt>
                <c:pt idx="10">
                  <c:v>6.4864001615291293</c:v>
                </c:pt>
                <c:pt idx="11">
                  <c:v>6.6356803044579351</c:v>
                </c:pt>
                <c:pt idx="12">
                  <c:v>6.1500057612060459</c:v>
                </c:pt>
                <c:pt idx="13">
                  <c:v>4.9904627907830132</c:v>
                </c:pt>
                <c:pt idx="14">
                  <c:v>3.2067579730540103</c:v>
                </c:pt>
                <c:pt idx="15">
                  <c:v>0.95810710361112683</c:v>
                </c:pt>
                <c:pt idx="16">
                  <c:v>-1.4658759113547148</c:v>
                </c:pt>
                <c:pt idx="17">
                  <c:v>-3.6242901601829658</c:v>
                </c:pt>
                <c:pt idx="18">
                  <c:v>-4.9040588308716906</c:v>
                </c:pt>
                <c:pt idx="19">
                  <c:v>-4.4990403162053099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78-4C09-B5B9-745A04D22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2540863"/>
        <c:axId val="504379087"/>
      </c:scatterChart>
      <c:valAx>
        <c:axId val="20825408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4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379087"/>
        <c:crosses val="autoZero"/>
        <c:crossBetween val="midCat"/>
      </c:valAx>
      <c:valAx>
        <c:axId val="5043790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8254086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5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Лист!$G$5:$G$24</c:f>
              <c:numCache>
                <c:formatCode>General</c:formatCode>
                <c:ptCount val="20"/>
                <c:pt idx="0">
                  <c:v>1</c:v>
                </c:pt>
                <c:pt idx="1">
                  <c:v>32</c:v>
                </c:pt>
                <c:pt idx="2">
                  <c:v>243</c:v>
                </c:pt>
                <c:pt idx="3">
                  <c:v>1024</c:v>
                </c:pt>
                <c:pt idx="4">
                  <c:v>3125</c:v>
                </c:pt>
                <c:pt idx="5">
                  <c:v>7776</c:v>
                </c:pt>
                <c:pt idx="6">
                  <c:v>16807</c:v>
                </c:pt>
                <c:pt idx="7">
                  <c:v>32768</c:v>
                </c:pt>
                <c:pt idx="8">
                  <c:v>59049</c:v>
                </c:pt>
                <c:pt idx="9">
                  <c:v>100000</c:v>
                </c:pt>
                <c:pt idx="10">
                  <c:v>161051</c:v>
                </c:pt>
                <c:pt idx="11">
                  <c:v>248832</c:v>
                </c:pt>
                <c:pt idx="12">
                  <c:v>371293</c:v>
                </c:pt>
                <c:pt idx="13">
                  <c:v>537824</c:v>
                </c:pt>
                <c:pt idx="14">
                  <c:v>759375</c:v>
                </c:pt>
                <c:pt idx="15">
                  <c:v>1048576</c:v>
                </c:pt>
                <c:pt idx="16">
                  <c:v>1419857</c:v>
                </c:pt>
                <c:pt idx="17">
                  <c:v>1889568</c:v>
                </c:pt>
                <c:pt idx="18">
                  <c:v>2476099</c:v>
                </c:pt>
                <c:pt idx="19">
                  <c:v>3200000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96B-46B3-A15F-5D5B3196D629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Лист!$G$5:$G$24</c:f>
              <c:numCache>
                <c:formatCode>General</c:formatCode>
                <c:ptCount val="20"/>
                <c:pt idx="0">
                  <c:v>1</c:v>
                </c:pt>
                <c:pt idx="1">
                  <c:v>32</c:v>
                </c:pt>
                <c:pt idx="2">
                  <c:v>243</c:v>
                </c:pt>
                <c:pt idx="3">
                  <c:v>1024</c:v>
                </c:pt>
                <c:pt idx="4">
                  <c:v>3125</c:v>
                </c:pt>
                <c:pt idx="5">
                  <c:v>7776</c:v>
                </c:pt>
                <c:pt idx="6">
                  <c:v>16807</c:v>
                </c:pt>
                <c:pt idx="7">
                  <c:v>32768</c:v>
                </c:pt>
                <c:pt idx="8">
                  <c:v>59049</c:v>
                </c:pt>
                <c:pt idx="9">
                  <c:v>100000</c:v>
                </c:pt>
                <c:pt idx="10">
                  <c:v>161051</c:v>
                </c:pt>
                <c:pt idx="11">
                  <c:v>248832</c:v>
                </c:pt>
                <c:pt idx="12">
                  <c:v>371293</c:v>
                </c:pt>
                <c:pt idx="13">
                  <c:v>537824</c:v>
                </c:pt>
                <c:pt idx="14">
                  <c:v>759375</c:v>
                </c:pt>
                <c:pt idx="15">
                  <c:v>1048576</c:v>
                </c:pt>
                <c:pt idx="16">
                  <c:v>1419857</c:v>
                </c:pt>
                <c:pt idx="17">
                  <c:v>1889568</c:v>
                </c:pt>
                <c:pt idx="18">
                  <c:v>2476099</c:v>
                </c:pt>
                <c:pt idx="19">
                  <c:v>3200000</c:v>
                </c:pt>
              </c:numCache>
            </c:numRef>
          </c:xVal>
          <c:yVal>
            <c:numRef>
              <c:f>'5'!$B$29:$B$48</c:f>
              <c:numCache>
                <c:formatCode>General</c:formatCode>
                <c:ptCount val="20"/>
                <c:pt idx="0">
                  <c:v>0.17607588932813706</c:v>
                </c:pt>
                <c:pt idx="1">
                  <c:v>-2.6263615560599397E-2</c:v>
                </c:pt>
                <c:pt idx="2">
                  <c:v>-0.19585962138545304</c:v>
                </c:pt>
                <c:pt idx="3">
                  <c:v>-0.10893985976331491</c:v>
                </c:pt>
                <c:pt idx="4">
                  <c:v>0.33799930983004667</c:v>
                </c:pt>
                <c:pt idx="5">
                  <c:v>1.1490817949314298</c:v>
                </c:pt>
                <c:pt idx="6">
                  <c:v>2.2499406649616494</c:v>
                </c:pt>
                <c:pt idx="7">
                  <c:v>3.5086070460969969</c:v>
                </c:pt>
                <c:pt idx="8">
                  <c:v>4.7563990161406817</c:v>
                </c:pt>
                <c:pt idx="9">
                  <c:v>5.8088104993942622</c:v>
                </c:pt>
                <c:pt idx="10">
                  <c:v>6.4864001615291293</c:v>
                </c:pt>
                <c:pt idx="11">
                  <c:v>6.6356803044579351</c:v>
                </c:pt>
                <c:pt idx="12">
                  <c:v>6.1500057612060459</c:v>
                </c:pt>
                <c:pt idx="13">
                  <c:v>4.9904627907830132</c:v>
                </c:pt>
                <c:pt idx="14">
                  <c:v>3.2067579730540103</c:v>
                </c:pt>
                <c:pt idx="15">
                  <c:v>0.95810710361112683</c:v>
                </c:pt>
                <c:pt idx="16">
                  <c:v>-1.4658759113547148</c:v>
                </c:pt>
                <c:pt idx="17">
                  <c:v>-3.6242901601829658</c:v>
                </c:pt>
                <c:pt idx="18">
                  <c:v>-4.9040588308716906</c:v>
                </c:pt>
                <c:pt idx="19">
                  <c:v>-4.4990403162053099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96B-46B3-A15F-5D5B3196D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303439"/>
        <c:axId val="296239327"/>
      </c:scatterChart>
      <c:valAx>
        <c:axId val="504303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6239327"/>
        <c:crosses val="autoZero"/>
        <c:crossBetween val="midCat"/>
      </c:valAx>
      <c:valAx>
        <c:axId val="2962393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30343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1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Лист!$C$5:$C$24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DA-480E-BFAD-F05BC3574DBC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Лист!$C$5:$C$24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'6'!$B$30:$B$49</c:f>
              <c:numCache>
                <c:formatCode>General</c:formatCode>
                <c:ptCount val="20"/>
                <c:pt idx="0">
                  <c:v>0.9111849802366091</c:v>
                </c:pt>
                <c:pt idx="1">
                  <c:v>-0.9161325150809938</c:v>
                </c:pt>
                <c:pt idx="2">
                  <c:v>-0.90517541085789088</c:v>
                </c:pt>
                <c:pt idx="3">
                  <c:v>-0.10666398022418577</c:v>
                </c:pt>
                <c:pt idx="4">
                  <c:v>0.90583125466551828</c:v>
                </c:pt>
                <c:pt idx="5">
                  <c:v>1.881535693045439</c:v>
                </c:pt>
                <c:pt idx="6">
                  <c:v>2.7631515008746197</c:v>
                </c:pt>
                <c:pt idx="7">
                  <c:v>3.5825731310954154</c:v>
                </c:pt>
                <c:pt idx="8">
                  <c:v>4.3816375188145571</c:v>
                </c:pt>
                <c:pt idx="9">
                  <c:v>5.1579089514070091</c:v>
                </c:pt>
                <c:pt idx="10">
                  <c:v>5.8354986135419438</c:v>
                </c:pt>
                <c:pt idx="11">
                  <c:v>6.2609188071321995</c:v>
                </c:pt>
                <c:pt idx="12">
                  <c:v>6.2239718462048756</c:v>
                </c:pt>
                <c:pt idx="13">
                  <c:v>5.5036736266962976</c:v>
                </c:pt>
                <c:pt idx="14">
                  <c:v>3.9392118711678563</c:v>
                </c:pt>
                <c:pt idx="15">
                  <c:v>1.5259390484457072</c:v>
                </c:pt>
                <c:pt idx="16">
                  <c:v>-1.4636000318173501</c:v>
                </c:pt>
                <c:pt idx="17">
                  <c:v>-4.3336059496568851</c:v>
                </c:pt>
                <c:pt idx="18">
                  <c:v>-5.7939277303937615</c:v>
                </c:pt>
                <c:pt idx="19">
                  <c:v>-3.7639312252968011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5DA-480E-BFAD-F05BC3574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270767"/>
        <c:axId val="2136810015"/>
      </c:scatterChart>
      <c:valAx>
        <c:axId val="5012707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36810015"/>
        <c:crosses val="autoZero"/>
        <c:crossBetween val="midCat"/>
      </c:valAx>
      <c:valAx>
        <c:axId val="21368100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2707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2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Лист!$D$5:$D$24</c:f>
              <c:numCache>
                <c:formatCode>General</c:formatCode>
                <c:ptCount val="20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  <c:pt idx="7">
                  <c:v>64</c:v>
                </c:pt>
                <c:pt idx="8">
                  <c:v>81</c:v>
                </c:pt>
                <c:pt idx="9">
                  <c:v>100</c:v>
                </c:pt>
                <c:pt idx="10">
                  <c:v>121</c:v>
                </c:pt>
                <c:pt idx="11">
                  <c:v>144</c:v>
                </c:pt>
                <c:pt idx="12">
                  <c:v>169</c:v>
                </c:pt>
                <c:pt idx="13">
                  <c:v>196</c:v>
                </c:pt>
                <c:pt idx="14">
                  <c:v>225</c:v>
                </c:pt>
                <c:pt idx="15">
                  <c:v>256</c:v>
                </c:pt>
                <c:pt idx="16">
                  <c:v>289</c:v>
                </c:pt>
                <c:pt idx="17">
                  <c:v>324</c:v>
                </c:pt>
                <c:pt idx="18">
                  <c:v>361</c:v>
                </c:pt>
                <c:pt idx="19">
                  <c:v>400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0C-4D0D-86A3-F49299484191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Лист!$D$5:$D$24</c:f>
              <c:numCache>
                <c:formatCode>General</c:formatCode>
                <c:ptCount val="20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  <c:pt idx="7">
                  <c:v>64</c:v>
                </c:pt>
                <c:pt idx="8">
                  <c:v>81</c:v>
                </c:pt>
                <c:pt idx="9">
                  <c:v>100</c:v>
                </c:pt>
                <c:pt idx="10">
                  <c:v>121</c:v>
                </c:pt>
                <c:pt idx="11">
                  <c:v>144</c:v>
                </c:pt>
                <c:pt idx="12">
                  <c:v>169</c:v>
                </c:pt>
                <c:pt idx="13">
                  <c:v>196</c:v>
                </c:pt>
                <c:pt idx="14">
                  <c:v>225</c:v>
                </c:pt>
                <c:pt idx="15">
                  <c:v>256</c:v>
                </c:pt>
                <c:pt idx="16">
                  <c:v>289</c:v>
                </c:pt>
                <c:pt idx="17">
                  <c:v>324</c:v>
                </c:pt>
                <c:pt idx="18">
                  <c:v>361</c:v>
                </c:pt>
                <c:pt idx="19">
                  <c:v>400</c:v>
                </c:pt>
              </c:numCache>
            </c:numRef>
          </c:xVal>
          <c:yVal>
            <c:numRef>
              <c:f>'6'!$B$30:$B$49</c:f>
              <c:numCache>
                <c:formatCode>General</c:formatCode>
                <c:ptCount val="20"/>
                <c:pt idx="0">
                  <c:v>0.9111849802366091</c:v>
                </c:pt>
                <c:pt idx="1">
                  <c:v>-0.9161325150809938</c:v>
                </c:pt>
                <c:pt idx="2">
                  <c:v>-0.90517541085789088</c:v>
                </c:pt>
                <c:pt idx="3">
                  <c:v>-0.10666398022418577</c:v>
                </c:pt>
                <c:pt idx="4">
                  <c:v>0.90583125466551828</c:v>
                </c:pt>
                <c:pt idx="5">
                  <c:v>1.881535693045439</c:v>
                </c:pt>
                <c:pt idx="6">
                  <c:v>2.7631515008746197</c:v>
                </c:pt>
                <c:pt idx="7">
                  <c:v>3.5825731310954154</c:v>
                </c:pt>
                <c:pt idx="8">
                  <c:v>4.3816375188145571</c:v>
                </c:pt>
                <c:pt idx="9">
                  <c:v>5.1579089514070091</c:v>
                </c:pt>
                <c:pt idx="10">
                  <c:v>5.8354986135419438</c:v>
                </c:pt>
                <c:pt idx="11">
                  <c:v>6.2609188071321995</c:v>
                </c:pt>
                <c:pt idx="12">
                  <c:v>6.2239718462048756</c:v>
                </c:pt>
                <c:pt idx="13">
                  <c:v>5.5036736266962976</c:v>
                </c:pt>
                <c:pt idx="14">
                  <c:v>3.9392118711678563</c:v>
                </c:pt>
                <c:pt idx="15">
                  <c:v>1.5259390484457072</c:v>
                </c:pt>
                <c:pt idx="16">
                  <c:v>-1.4636000318173501</c:v>
                </c:pt>
                <c:pt idx="17">
                  <c:v>-4.3336059496568851</c:v>
                </c:pt>
                <c:pt idx="18">
                  <c:v>-5.7939277303937615</c:v>
                </c:pt>
                <c:pt idx="19">
                  <c:v>-3.7639312252968011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10C-4D0D-86A3-F49299484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827951"/>
        <c:axId val="504376175"/>
      </c:scatterChart>
      <c:valAx>
        <c:axId val="500827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376175"/>
        <c:crosses val="autoZero"/>
        <c:crossBetween val="midCat"/>
      </c:valAx>
      <c:valAx>
        <c:axId val="5043761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82795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3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Лист!$E$5:$E$24</c:f>
              <c:numCache>
                <c:formatCode>General</c:formatCode>
                <c:ptCount val="20"/>
                <c:pt idx="0">
                  <c:v>1</c:v>
                </c:pt>
                <c:pt idx="1">
                  <c:v>8</c:v>
                </c:pt>
                <c:pt idx="2">
                  <c:v>27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729</c:v>
                </c:pt>
                <c:pt idx="9">
                  <c:v>1000</c:v>
                </c:pt>
                <c:pt idx="10">
                  <c:v>1331</c:v>
                </c:pt>
                <c:pt idx="11">
                  <c:v>1728</c:v>
                </c:pt>
                <c:pt idx="12">
                  <c:v>2197</c:v>
                </c:pt>
                <c:pt idx="13">
                  <c:v>2744</c:v>
                </c:pt>
                <c:pt idx="14">
                  <c:v>3375</c:v>
                </c:pt>
                <c:pt idx="15">
                  <c:v>4096</c:v>
                </c:pt>
                <c:pt idx="16">
                  <c:v>4913</c:v>
                </c:pt>
                <c:pt idx="17">
                  <c:v>5832</c:v>
                </c:pt>
                <c:pt idx="18">
                  <c:v>6859</c:v>
                </c:pt>
                <c:pt idx="19">
                  <c:v>8000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761-4AAC-9958-D9594D0E728D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Лист!$E$5:$E$24</c:f>
              <c:numCache>
                <c:formatCode>General</c:formatCode>
                <c:ptCount val="20"/>
                <c:pt idx="0">
                  <c:v>1</c:v>
                </c:pt>
                <c:pt idx="1">
                  <c:v>8</c:v>
                </c:pt>
                <c:pt idx="2">
                  <c:v>27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729</c:v>
                </c:pt>
                <c:pt idx="9">
                  <c:v>1000</c:v>
                </c:pt>
                <c:pt idx="10">
                  <c:v>1331</c:v>
                </c:pt>
                <c:pt idx="11">
                  <c:v>1728</c:v>
                </c:pt>
                <c:pt idx="12">
                  <c:v>2197</c:v>
                </c:pt>
                <c:pt idx="13">
                  <c:v>2744</c:v>
                </c:pt>
                <c:pt idx="14">
                  <c:v>3375</c:v>
                </c:pt>
                <c:pt idx="15">
                  <c:v>4096</c:v>
                </c:pt>
                <c:pt idx="16">
                  <c:v>4913</c:v>
                </c:pt>
                <c:pt idx="17">
                  <c:v>5832</c:v>
                </c:pt>
                <c:pt idx="18">
                  <c:v>6859</c:v>
                </c:pt>
                <c:pt idx="19">
                  <c:v>8000</c:v>
                </c:pt>
              </c:numCache>
            </c:numRef>
          </c:xVal>
          <c:yVal>
            <c:numRef>
              <c:f>'6'!$B$30:$B$49</c:f>
              <c:numCache>
                <c:formatCode>General</c:formatCode>
                <c:ptCount val="20"/>
                <c:pt idx="0">
                  <c:v>0.9111849802366091</c:v>
                </c:pt>
                <c:pt idx="1">
                  <c:v>-0.9161325150809938</c:v>
                </c:pt>
                <c:pt idx="2">
                  <c:v>-0.90517541085789088</c:v>
                </c:pt>
                <c:pt idx="3">
                  <c:v>-0.10666398022418577</c:v>
                </c:pt>
                <c:pt idx="4">
                  <c:v>0.90583125466551828</c:v>
                </c:pt>
                <c:pt idx="5">
                  <c:v>1.881535693045439</c:v>
                </c:pt>
                <c:pt idx="6">
                  <c:v>2.7631515008746197</c:v>
                </c:pt>
                <c:pt idx="7">
                  <c:v>3.5825731310954154</c:v>
                </c:pt>
                <c:pt idx="8">
                  <c:v>4.3816375188145571</c:v>
                </c:pt>
                <c:pt idx="9">
                  <c:v>5.1579089514070091</c:v>
                </c:pt>
                <c:pt idx="10">
                  <c:v>5.8354986135419438</c:v>
                </c:pt>
                <c:pt idx="11">
                  <c:v>6.2609188071321995</c:v>
                </c:pt>
                <c:pt idx="12">
                  <c:v>6.2239718462048756</c:v>
                </c:pt>
                <c:pt idx="13">
                  <c:v>5.5036736266962976</c:v>
                </c:pt>
                <c:pt idx="14">
                  <c:v>3.9392118711678563</c:v>
                </c:pt>
                <c:pt idx="15">
                  <c:v>1.5259390484457072</c:v>
                </c:pt>
                <c:pt idx="16">
                  <c:v>-1.4636000318173501</c:v>
                </c:pt>
                <c:pt idx="17">
                  <c:v>-4.3336059496568851</c:v>
                </c:pt>
                <c:pt idx="18">
                  <c:v>-5.7939277303937615</c:v>
                </c:pt>
                <c:pt idx="19">
                  <c:v>-3.7639312252968011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761-4AAC-9958-D9594D0E7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494079"/>
        <c:axId val="2082200303"/>
      </c:scatterChart>
      <c:valAx>
        <c:axId val="499494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82200303"/>
        <c:crosses val="autoZero"/>
        <c:crossBetween val="midCat"/>
      </c:valAx>
      <c:valAx>
        <c:axId val="20822003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94940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4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Лист!$F$5:$F$24</c:f>
              <c:numCache>
                <c:formatCode>General</c:formatCode>
                <c:ptCount val="20"/>
                <c:pt idx="0">
                  <c:v>1</c:v>
                </c:pt>
                <c:pt idx="1">
                  <c:v>16</c:v>
                </c:pt>
                <c:pt idx="2">
                  <c:v>81</c:v>
                </c:pt>
                <c:pt idx="3">
                  <c:v>256</c:v>
                </c:pt>
                <c:pt idx="4">
                  <c:v>625</c:v>
                </c:pt>
                <c:pt idx="5">
                  <c:v>1296</c:v>
                </c:pt>
                <c:pt idx="6">
                  <c:v>2401</c:v>
                </c:pt>
                <c:pt idx="7">
                  <c:v>4096</c:v>
                </c:pt>
                <c:pt idx="8">
                  <c:v>6561</c:v>
                </c:pt>
                <c:pt idx="9">
                  <c:v>10000</c:v>
                </c:pt>
                <c:pt idx="10">
                  <c:v>14641</c:v>
                </c:pt>
                <c:pt idx="11">
                  <c:v>20736</c:v>
                </c:pt>
                <c:pt idx="12">
                  <c:v>28561</c:v>
                </c:pt>
                <c:pt idx="13">
                  <c:v>38416</c:v>
                </c:pt>
                <c:pt idx="14">
                  <c:v>50625</c:v>
                </c:pt>
                <c:pt idx="15">
                  <c:v>65536</c:v>
                </c:pt>
                <c:pt idx="16">
                  <c:v>83521</c:v>
                </c:pt>
                <c:pt idx="17">
                  <c:v>104976</c:v>
                </c:pt>
                <c:pt idx="18">
                  <c:v>130321</c:v>
                </c:pt>
                <c:pt idx="19">
                  <c:v>160000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BB-4D3C-ADFD-CB646C2BC3B1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Лист!$F$5:$F$24</c:f>
              <c:numCache>
                <c:formatCode>General</c:formatCode>
                <c:ptCount val="20"/>
                <c:pt idx="0">
                  <c:v>1</c:v>
                </c:pt>
                <c:pt idx="1">
                  <c:v>16</c:v>
                </c:pt>
                <c:pt idx="2">
                  <c:v>81</c:v>
                </c:pt>
                <c:pt idx="3">
                  <c:v>256</c:v>
                </c:pt>
                <c:pt idx="4">
                  <c:v>625</c:v>
                </c:pt>
                <c:pt idx="5">
                  <c:v>1296</c:v>
                </c:pt>
                <c:pt idx="6">
                  <c:v>2401</c:v>
                </c:pt>
                <c:pt idx="7">
                  <c:v>4096</c:v>
                </c:pt>
                <c:pt idx="8">
                  <c:v>6561</c:v>
                </c:pt>
                <c:pt idx="9">
                  <c:v>10000</c:v>
                </c:pt>
                <c:pt idx="10">
                  <c:v>14641</c:v>
                </c:pt>
                <c:pt idx="11">
                  <c:v>20736</c:v>
                </c:pt>
                <c:pt idx="12">
                  <c:v>28561</c:v>
                </c:pt>
                <c:pt idx="13">
                  <c:v>38416</c:v>
                </c:pt>
                <c:pt idx="14">
                  <c:v>50625</c:v>
                </c:pt>
                <c:pt idx="15">
                  <c:v>65536</c:v>
                </c:pt>
                <c:pt idx="16">
                  <c:v>83521</c:v>
                </c:pt>
                <c:pt idx="17">
                  <c:v>104976</c:v>
                </c:pt>
                <c:pt idx="18">
                  <c:v>130321</c:v>
                </c:pt>
                <c:pt idx="19">
                  <c:v>160000</c:v>
                </c:pt>
              </c:numCache>
            </c:numRef>
          </c:xVal>
          <c:yVal>
            <c:numRef>
              <c:f>'6'!$B$30:$B$49</c:f>
              <c:numCache>
                <c:formatCode>General</c:formatCode>
                <c:ptCount val="20"/>
                <c:pt idx="0">
                  <c:v>0.9111849802366091</c:v>
                </c:pt>
                <c:pt idx="1">
                  <c:v>-0.9161325150809938</c:v>
                </c:pt>
                <c:pt idx="2">
                  <c:v>-0.90517541085789088</c:v>
                </c:pt>
                <c:pt idx="3">
                  <c:v>-0.10666398022418577</c:v>
                </c:pt>
                <c:pt idx="4">
                  <c:v>0.90583125466551828</c:v>
                </c:pt>
                <c:pt idx="5">
                  <c:v>1.881535693045439</c:v>
                </c:pt>
                <c:pt idx="6">
                  <c:v>2.7631515008746197</c:v>
                </c:pt>
                <c:pt idx="7">
                  <c:v>3.5825731310954154</c:v>
                </c:pt>
                <c:pt idx="8">
                  <c:v>4.3816375188145571</c:v>
                </c:pt>
                <c:pt idx="9">
                  <c:v>5.1579089514070091</c:v>
                </c:pt>
                <c:pt idx="10">
                  <c:v>5.8354986135419438</c:v>
                </c:pt>
                <c:pt idx="11">
                  <c:v>6.2609188071321995</c:v>
                </c:pt>
                <c:pt idx="12">
                  <c:v>6.2239718462048756</c:v>
                </c:pt>
                <c:pt idx="13">
                  <c:v>5.5036736266962976</c:v>
                </c:pt>
                <c:pt idx="14">
                  <c:v>3.9392118711678563</c:v>
                </c:pt>
                <c:pt idx="15">
                  <c:v>1.5259390484457072</c:v>
                </c:pt>
                <c:pt idx="16">
                  <c:v>-1.4636000318173501</c:v>
                </c:pt>
                <c:pt idx="17">
                  <c:v>-4.3336059496568851</c:v>
                </c:pt>
                <c:pt idx="18">
                  <c:v>-5.7939277303937615</c:v>
                </c:pt>
                <c:pt idx="19">
                  <c:v>-3.7639312252968011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BB-4D3C-ADFD-CB646C2BC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494079"/>
        <c:axId val="2082196559"/>
      </c:scatterChart>
      <c:valAx>
        <c:axId val="499494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4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82196559"/>
        <c:crosses val="autoZero"/>
        <c:crossBetween val="midCat"/>
      </c:valAx>
      <c:valAx>
        <c:axId val="20821965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94940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5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Лист!$G$5:$G$24</c:f>
              <c:numCache>
                <c:formatCode>General</c:formatCode>
                <c:ptCount val="20"/>
                <c:pt idx="0">
                  <c:v>1</c:v>
                </c:pt>
                <c:pt idx="1">
                  <c:v>32</c:v>
                </c:pt>
                <c:pt idx="2">
                  <c:v>243</c:v>
                </c:pt>
                <c:pt idx="3">
                  <c:v>1024</c:v>
                </c:pt>
                <c:pt idx="4">
                  <c:v>3125</c:v>
                </c:pt>
                <c:pt idx="5">
                  <c:v>7776</c:v>
                </c:pt>
                <c:pt idx="6">
                  <c:v>16807</c:v>
                </c:pt>
                <c:pt idx="7">
                  <c:v>32768</c:v>
                </c:pt>
                <c:pt idx="8">
                  <c:v>59049</c:v>
                </c:pt>
                <c:pt idx="9">
                  <c:v>100000</c:v>
                </c:pt>
                <c:pt idx="10">
                  <c:v>161051</c:v>
                </c:pt>
                <c:pt idx="11">
                  <c:v>248832</c:v>
                </c:pt>
                <c:pt idx="12">
                  <c:v>371293</c:v>
                </c:pt>
                <c:pt idx="13">
                  <c:v>537824</c:v>
                </c:pt>
                <c:pt idx="14">
                  <c:v>759375</c:v>
                </c:pt>
                <c:pt idx="15">
                  <c:v>1048576</c:v>
                </c:pt>
                <c:pt idx="16">
                  <c:v>1419857</c:v>
                </c:pt>
                <c:pt idx="17">
                  <c:v>1889568</c:v>
                </c:pt>
                <c:pt idx="18">
                  <c:v>2476099</c:v>
                </c:pt>
                <c:pt idx="19">
                  <c:v>3200000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857-43FD-B49D-9838257822AA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Лист!$G$5:$G$24</c:f>
              <c:numCache>
                <c:formatCode>General</c:formatCode>
                <c:ptCount val="20"/>
                <c:pt idx="0">
                  <c:v>1</c:v>
                </c:pt>
                <c:pt idx="1">
                  <c:v>32</c:v>
                </c:pt>
                <c:pt idx="2">
                  <c:v>243</c:v>
                </c:pt>
                <c:pt idx="3">
                  <c:v>1024</c:v>
                </c:pt>
                <c:pt idx="4">
                  <c:v>3125</c:v>
                </c:pt>
                <c:pt idx="5">
                  <c:v>7776</c:v>
                </c:pt>
                <c:pt idx="6">
                  <c:v>16807</c:v>
                </c:pt>
                <c:pt idx="7">
                  <c:v>32768</c:v>
                </c:pt>
                <c:pt idx="8">
                  <c:v>59049</c:v>
                </c:pt>
                <c:pt idx="9">
                  <c:v>100000</c:v>
                </c:pt>
                <c:pt idx="10">
                  <c:v>161051</c:v>
                </c:pt>
                <c:pt idx="11">
                  <c:v>248832</c:v>
                </c:pt>
                <c:pt idx="12">
                  <c:v>371293</c:v>
                </c:pt>
                <c:pt idx="13">
                  <c:v>537824</c:v>
                </c:pt>
                <c:pt idx="14">
                  <c:v>759375</c:v>
                </c:pt>
                <c:pt idx="15">
                  <c:v>1048576</c:v>
                </c:pt>
                <c:pt idx="16">
                  <c:v>1419857</c:v>
                </c:pt>
                <c:pt idx="17">
                  <c:v>1889568</c:v>
                </c:pt>
                <c:pt idx="18">
                  <c:v>2476099</c:v>
                </c:pt>
                <c:pt idx="19">
                  <c:v>3200000</c:v>
                </c:pt>
              </c:numCache>
            </c:numRef>
          </c:xVal>
          <c:yVal>
            <c:numRef>
              <c:f>'6'!$B$30:$B$49</c:f>
              <c:numCache>
                <c:formatCode>General</c:formatCode>
                <c:ptCount val="20"/>
                <c:pt idx="0">
                  <c:v>0.9111849802366091</c:v>
                </c:pt>
                <c:pt idx="1">
                  <c:v>-0.9161325150809938</c:v>
                </c:pt>
                <c:pt idx="2">
                  <c:v>-0.90517541085789088</c:v>
                </c:pt>
                <c:pt idx="3">
                  <c:v>-0.10666398022418577</c:v>
                </c:pt>
                <c:pt idx="4">
                  <c:v>0.90583125466551828</c:v>
                </c:pt>
                <c:pt idx="5">
                  <c:v>1.881535693045439</c:v>
                </c:pt>
                <c:pt idx="6">
                  <c:v>2.7631515008746197</c:v>
                </c:pt>
                <c:pt idx="7">
                  <c:v>3.5825731310954154</c:v>
                </c:pt>
                <c:pt idx="8">
                  <c:v>4.3816375188145571</c:v>
                </c:pt>
                <c:pt idx="9">
                  <c:v>5.1579089514070091</c:v>
                </c:pt>
                <c:pt idx="10">
                  <c:v>5.8354986135419438</c:v>
                </c:pt>
                <c:pt idx="11">
                  <c:v>6.2609188071321995</c:v>
                </c:pt>
                <c:pt idx="12">
                  <c:v>6.2239718462048756</c:v>
                </c:pt>
                <c:pt idx="13">
                  <c:v>5.5036736266962976</c:v>
                </c:pt>
                <c:pt idx="14">
                  <c:v>3.9392118711678563</c:v>
                </c:pt>
                <c:pt idx="15">
                  <c:v>1.5259390484457072</c:v>
                </c:pt>
                <c:pt idx="16">
                  <c:v>-1.4636000318173501</c:v>
                </c:pt>
                <c:pt idx="17">
                  <c:v>-4.3336059496568851</c:v>
                </c:pt>
                <c:pt idx="18">
                  <c:v>-5.7939277303937615</c:v>
                </c:pt>
                <c:pt idx="19">
                  <c:v>-3.7639312252968011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857-43FD-B49D-983825782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328559"/>
        <c:axId val="296236415"/>
      </c:scatterChart>
      <c:valAx>
        <c:axId val="5013285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6236415"/>
        <c:crosses val="autoZero"/>
        <c:crossBetween val="midCat"/>
      </c:valAx>
      <c:valAx>
        <c:axId val="2962364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3285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6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Лист!$H$5:$H$24</c:f>
              <c:numCache>
                <c:formatCode>General</c:formatCode>
                <c:ptCount val="20"/>
                <c:pt idx="0">
                  <c:v>1</c:v>
                </c:pt>
                <c:pt idx="1">
                  <c:v>64</c:v>
                </c:pt>
                <c:pt idx="2">
                  <c:v>729</c:v>
                </c:pt>
                <c:pt idx="3">
                  <c:v>4096</c:v>
                </c:pt>
                <c:pt idx="4">
                  <c:v>15625</c:v>
                </c:pt>
                <c:pt idx="5">
                  <c:v>46656</c:v>
                </c:pt>
                <c:pt idx="6">
                  <c:v>117649</c:v>
                </c:pt>
                <c:pt idx="7">
                  <c:v>262144</c:v>
                </c:pt>
                <c:pt idx="8">
                  <c:v>531441</c:v>
                </c:pt>
                <c:pt idx="9">
                  <c:v>1000000</c:v>
                </c:pt>
                <c:pt idx="10">
                  <c:v>1771561</c:v>
                </c:pt>
                <c:pt idx="11">
                  <c:v>2985984</c:v>
                </c:pt>
                <c:pt idx="12">
                  <c:v>4826809</c:v>
                </c:pt>
                <c:pt idx="13">
                  <c:v>7529536</c:v>
                </c:pt>
                <c:pt idx="14">
                  <c:v>11390625</c:v>
                </c:pt>
                <c:pt idx="15">
                  <c:v>16777216</c:v>
                </c:pt>
                <c:pt idx="16">
                  <c:v>24137569</c:v>
                </c:pt>
                <c:pt idx="17">
                  <c:v>34012224</c:v>
                </c:pt>
                <c:pt idx="18">
                  <c:v>47045881</c:v>
                </c:pt>
                <c:pt idx="19">
                  <c:v>64000000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98C-482D-9C33-1BE519CBF838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Лист!$H$5:$H$24</c:f>
              <c:numCache>
                <c:formatCode>General</c:formatCode>
                <c:ptCount val="20"/>
                <c:pt idx="0">
                  <c:v>1</c:v>
                </c:pt>
                <c:pt idx="1">
                  <c:v>64</c:v>
                </c:pt>
                <c:pt idx="2">
                  <c:v>729</c:v>
                </c:pt>
                <c:pt idx="3">
                  <c:v>4096</c:v>
                </c:pt>
                <c:pt idx="4">
                  <c:v>15625</c:v>
                </c:pt>
                <c:pt idx="5">
                  <c:v>46656</c:v>
                </c:pt>
                <c:pt idx="6">
                  <c:v>117649</c:v>
                </c:pt>
                <c:pt idx="7">
                  <c:v>262144</c:v>
                </c:pt>
                <c:pt idx="8">
                  <c:v>531441</c:v>
                </c:pt>
                <c:pt idx="9">
                  <c:v>1000000</c:v>
                </c:pt>
                <c:pt idx="10">
                  <c:v>1771561</c:v>
                </c:pt>
                <c:pt idx="11">
                  <c:v>2985984</c:v>
                </c:pt>
                <c:pt idx="12">
                  <c:v>4826809</c:v>
                </c:pt>
                <c:pt idx="13">
                  <c:v>7529536</c:v>
                </c:pt>
                <c:pt idx="14">
                  <c:v>11390625</c:v>
                </c:pt>
                <c:pt idx="15">
                  <c:v>16777216</c:v>
                </c:pt>
                <c:pt idx="16">
                  <c:v>24137569</c:v>
                </c:pt>
                <c:pt idx="17">
                  <c:v>34012224</c:v>
                </c:pt>
                <c:pt idx="18">
                  <c:v>47045881</c:v>
                </c:pt>
                <c:pt idx="19">
                  <c:v>64000000</c:v>
                </c:pt>
              </c:numCache>
            </c:numRef>
          </c:xVal>
          <c:yVal>
            <c:numRef>
              <c:f>'6'!$B$30:$B$49</c:f>
              <c:numCache>
                <c:formatCode>General</c:formatCode>
                <c:ptCount val="20"/>
                <c:pt idx="0">
                  <c:v>0.9111849802366091</c:v>
                </c:pt>
                <c:pt idx="1">
                  <c:v>-0.9161325150809938</c:v>
                </c:pt>
                <c:pt idx="2">
                  <c:v>-0.90517541085789088</c:v>
                </c:pt>
                <c:pt idx="3">
                  <c:v>-0.10666398022418577</c:v>
                </c:pt>
                <c:pt idx="4">
                  <c:v>0.90583125466551828</c:v>
                </c:pt>
                <c:pt idx="5">
                  <c:v>1.881535693045439</c:v>
                </c:pt>
                <c:pt idx="6">
                  <c:v>2.7631515008746197</c:v>
                </c:pt>
                <c:pt idx="7">
                  <c:v>3.5825731310954154</c:v>
                </c:pt>
                <c:pt idx="8">
                  <c:v>4.3816375188145571</c:v>
                </c:pt>
                <c:pt idx="9">
                  <c:v>5.1579089514070091</c:v>
                </c:pt>
                <c:pt idx="10">
                  <c:v>5.8354986135419438</c:v>
                </c:pt>
                <c:pt idx="11">
                  <c:v>6.2609188071321995</c:v>
                </c:pt>
                <c:pt idx="12">
                  <c:v>6.2239718462048756</c:v>
                </c:pt>
                <c:pt idx="13">
                  <c:v>5.5036736266962976</c:v>
                </c:pt>
                <c:pt idx="14">
                  <c:v>3.9392118711678563</c:v>
                </c:pt>
                <c:pt idx="15">
                  <c:v>1.5259390484457072</c:v>
                </c:pt>
                <c:pt idx="16">
                  <c:v>-1.4636000318173501</c:v>
                </c:pt>
                <c:pt idx="17">
                  <c:v>-4.3336059496568851</c:v>
                </c:pt>
                <c:pt idx="18">
                  <c:v>-5.7939277303937615</c:v>
                </c:pt>
                <c:pt idx="19">
                  <c:v>-3.7639312252968011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98C-482D-9C33-1BE519CBF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662015"/>
        <c:axId val="2136786719"/>
      </c:scatterChart>
      <c:valAx>
        <c:axId val="611662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6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36786719"/>
        <c:crosses val="autoZero"/>
        <c:crossBetween val="midCat"/>
      </c:valAx>
      <c:valAx>
        <c:axId val="21367867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166201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1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Лист!$C$5:$C$24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36-4DF3-9370-52BFCDC18014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Лист!$C$5:$C$24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'8'!$B$32:$B$51</c:f>
              <c:numCache>
                <c:formatCode>General</c:formatCode>
                <c:ptCount val="20"/>
                <c:pt idx="0">
                  <c:v>0.35548281573620727</c:v>
                </c:pt>
                <c:pt idx="1">
                  <c:v>0.15476624169342831</c:v>
                </c:pt>
                <c:pt idx="2">
                  <c:v>-0.62506093494788151</c:v>
                </c:pt>
                <c:pt idx="3">
                  <c:v>-0.6956380554990591</c:v>
                </c:pt>
                <c:pt idx="4">
                  <c:v>0.13229747706888884</c:v>
                </c:pt>
                <c:pt idx="5">
                  <c:v>1.525659056211027</c:v>
                </c:pt>
                <c:pt idx="6">
                  <c:v>3.0202841163042229</c:v>
                </c:pt>
                <c:pt idx="7">
                  <c:v>4.2518333153873407</c:v>
                </c:pt>
                <c:pt idx="8">
                  <c:v>5.0536936599806204</c:v>
                </c:pt>
                <c:pt idx="9">
                  <c:v>5.4515400278168125</c:v>
                </c:pt>
                <c:pt idx="10">
                  <c:v>5.5864859963189719</c:v>
                </c:pt>
                <c:pt idx="11">
                  <c:v>5.6010313366534739</c:v>
                </c:pt>
                <c:pt idx="12">
                  <c:v>5.5242899851951037</c:v>
                </c:pt>
                <c:pt idx="13">
                  <c:v>5.1952587562276165</c:v>
                </c:pt>
                <c:pt idx="14">
                  <c:v>4.2651635117191518</c:v>
                </c:pt>
                <c:pt idx="15">
                  <c:v>2.3221959559995753</c:v>
                </c:pt>
                <c:pt idx="16">
                  <c:v>-0.81576932484966846</c:v>
                </c:pt>
                <c:pt idx="17">
                  <c:v>-4.5926115070250262</c:v>
                </c:pt>
                <c:pt idx="18">
                  <c:v>-6.9394113326736715</c:v>
                </c:pt>
                <c:pt idx="19">
                  <c:v>-3.1814910973082533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36-4DF3-9370-52BFCDC18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459903"/>
        <c:axId val="202345471"/>
      </c:scatterChart>
      <c:valAx>
        <c:axId val="3504599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2345471"/>
        <c:crosses val="autoZero"/>
        <c:crossBetween val="midCat"/>
      </c:valAx>
      <c:valAx>
        <c:axId val="2023454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5045990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2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Лист!$D$5:$D$24</c:f>
              <c:numCache>
                <c:formatCode>General</c:formatCode>
                <c:ptCount val="20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  <c:pt idx="7">
                  <c:v>64</c:v>
                </c:pt>
                <c:pt idx="8">
                  <c:v>81</c:v>
                </c:pt>
                <c:pt idx="9">
                  <c:v>100</c:v>
                </c:pt>
                <c:pt idx="10">
                  <c:v>121</c:v>
                </c:pt>
                <c:pt idx="11">
                  <c:v>144</c:v>
                </c:pt>
                <c:pt idx="12">
                  <c:v>169</c:v>
                </c:pt>
                <c:pt idx="13">
                  <c:v>196</c:v>
                </c:pt>
                <c:pt idx="14">
                  <c:v>225</c:v>
                </c:pt>
                <c:pt idx="15">
                  <c:v>256</c:v>
                </c:pt>
                <c:pt idx="16">
                  <c:v>289</c:v>
                </c:pt>
                <c:pt idx="17">
                  <c:v>324</c:v>
                </c:pt>
                <c:pt idx="18">
                  <c:v>361</c:v>
                </c:pt>
                <c:pt idx="19">
                  <c:v>400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9E8-4E50-9C0A-EFAE19DA40E0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Лист!$D$5:$D$24</c:f>
              <c:numCache>
                <c:formatCode>General</c:formatCode>
                <c:ptCount val="20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  <c:pt idx="7">
                  <c:v>64</c:v>
                </c:pt>
                <c:pt idx="8">
                  <c:v>81</c:v>
                </c:pt>
                <c:pt idx="9">
                  <c:v>100</c:v>
                </c:pt>
                <c:pt idx="10">
                  <c:v>121</c:v>
                </c:pt>
                <c:pt idx="11">
                  <c:v>144</c:v>
                </c:pt>
                <c:pt idx="12">
                  <c:v>169</c:v>
                </c:pt>
                <c:pt idx="13">
                  <c:v>196</c:v>
                </c:pt>
                <c:pt idx="14">
                  <c:v>225</c:v>
                </c:pt>
                <c:pt idx="15">
                  <c:v>256</c:v>
                </c:pt>
                <c:pt idx="16">
                  <c:v>289</c:v>
                </c:pt>
                <c:pt idx="17">
                  <c:v>324</c:v>
                </c:pt>
                <c:pt idx="18">
                  <c:v>361</c:v>
                </c:pt>
                <c:pt idx="19">
                  <c:v>400</c:v>
                </c:pt>
              </c:numCache>
            </c:numRef>
          </c:xVal>
          <c:yVal>
            <c:numRef>
              <c:f>'8'!$B$32:$B$51</c:f>
              <c:numCache>
                <c:formatCode>General</c:formatCode>
                <c:ptCount val="20"/>
                <c:pt idx="0">
                  <c:v>0.35548281573620727</c:v>
                </c:pt>
                <c:pt idx="1">
                  <c:v>0.15476624169342831</c:v>
                </c:pt>
                <c:pt idx="2">
                  <c:v>-0.62506093494788151</c:v>
                </c:pt>
                <c:pt idx="3">
                  <c:v>-0.6956380554990591</c:v>
                </c:pt>
                <c:pt idx="4">
                  <c:v>0.13229747706888884</c:v>
                </c:pt>
                <c:pt idx="5">
                  <c:v>1.525659056211027</c:v>
                </c:pt>
                <c:pt idx="6">
                  <c:v>3.0202841163042229</c:v>
                </c:pt>
                <c:pt idx="7">
                  <c:v>4.2518333153873407</c:v>
                </c:pt>
                <c:pt idx="8">
                  <c:v>5.0536936599806204</c:v>
                </c:pt>
                <c:pt idx="9">
                  <c:v>5.4515400278168125</c:v>
                </c:pt>
                <c:pt idx="10">
                  <c:v>5.5864859963189719</c:v>
                </c:pt>
                <c:pt idx="11">
                  <c:v>5.6010313366534739</c:v>
                </c:pt>
                <c:pt idx="12">
                  <c:v>5.5242899851951037</c:v>
                </c:pt>
                <c:pt idx="13">
                  <c:v>5.1952587562276165</c:v>
                </c:pt>
                <c:pt idx="14">
                  <c:v>4.2651635117191518</c:v>
                </c:pt>
                <c:pt idx="15">
                  <c:v>2.3221959559995753</c:v>
                </c:pt>
                <c:pt idx="16">
                  <c:v>-0.81576932484966846</c:v>
                </c:pt>
                <c:pt idx="17">
                  <c:v>-4.5926115070250262</c:v>
                </c:pt>
                <c:pt idx="18">
                  <c:v>-6.9394113326736715</c:v>
                </c:pt>
                <c:pt idx="19">
                  <c:v>-3.1814910973082533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9E8-4E50-9C0A-EFAE19DA4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327759"/>
        <c:axId val="296242655"/>
      </c:scatterChart>
      <c:valAx>
        <c:axId val="501327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6242655"/>
        <c:crosses val="autoZero"/>
        <c:crossBetween val="midCat"/>
      </c:valAx>
      <c:valAx>
        <c:axId val="2962426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3277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3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Лист!$E$5:$E$24</c:f>
              <c:numCache>
                <c:formatCode>General</c:formatCode>
                <c:ptCount val="20"/>
                <c:pt idx="0">
                  <c:v>1</c:v>
                </c:pt>
                <c:pt idx="1">
                  <c:v>8</c:v>
                </c:pt>
                <c:pt idx="2">
                  <c:v>27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729</c:v>
                </c:pt>
                <c:pt idx="9">
                  <c:v>1000</c:v>
                </c:pt>
                <c:pt idx="10">
                  <c:v>1331</c:v>
                </c:pt>
                <c:pt idx="11">
                  <c:v>1728</c:v>
                </c:pt>
                <c:pt idx="12">
                  <c:v>2197</c:v>
                </c:pt>
                <c:pt idx="13">
                  <c:v>2744</c:v>
                </c:pt>
                <c:pt idx="14">
                  <c:v>3375</c:v>
                </c:pt>
                <c:pt idx="15">
                  <c:v>4096</c:v>
                </c:pt>
                <c:pt idx="16">
                  <c:v>4913</c:v>
                </c:pt>
                <c:pt idx="17">
                  <c:v>5832</c:v>
                </c:pt>
                <c:pt idx="18">
                  <c:v>6859</c:v>
                </c:pt>
                <c:pt idx="19">
                  <c:v>8000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7-4F5D-96B8-6E6B01A0B045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Лист!$E$5:$E$24</c:f>
              <c:numCache>
                <c:formatCode>General</c:formatCode>
                <c:ptCount val="20"/>
                <c:pt idx="0">
                  <c:v>1</c:v>
                </c:pt>
                <c:pt idx="1">
                  <c:v>8</c:v>
                </c:pt>
                <c:pt idx="2">
                  <c:v>27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729</c:v>
                </c:pt>
                <c:pt idx="9">
                  <c:v>1000</c:v>
                </c:pt>
                <c:pt idx="10">
                  <c:v>1331</c:v>
                </c:pt>
                <c:pt idx="11">
                  <c:v>1728</c:v>
                </c:pt>
                <c:pt idx="12">
                  <c:v>2197</c:v>
                </c:pt>
                <c:pt idx="13">
                  <c:v>2744</c:v>
                </c:pt>
                <c:pt idx="14">
                  <c:v>3375</c:v>
                </c:pt>
                <c:pt idx="15">
                  <c:v>4096</c:v>
                </c:pt>
                <c:pt idx="16">
                  <c:v>4913</c:v>
                </c:pt>
                <c:pt idx="17">
                  <c:v>5832</c:v>
                </c:pt>
                <c:pt idx="18">
                  <c:v>6859</c:v>
                </c:pt>
                <c:pt idx="19">
                  <c:v>8000</c:v>
                </c:pt>
              </c:numCache>
            </c:numRef>
          </c:xVal>
          <c:yVal>
            <c:numRef>
              <c:f>'8'!$B$32:$B$51</c:f>
              <c:numCache>
                <c:formatCode>General</c:formatCode>
                <c:ptCount val="20"/>
                <c:pt idx="0">
                  <c:v>0.35548281573620727</c:v>
                </c:pt>
                <c:pt idx="1">
                  <c:v>0.15476624169342831</c:v>
                </c:pt>
                <c:pt idx="2">
                  <c:v>-0.62506093494788151</c:v>
                </c:pt>
                <c:pt idx="3">
                  <c:v>-0.6956380554990591</c:v>
                </c:pt>
                <c:pt idx="4">
                  <c:v>0.13229747706888884</c:v>
                </c:pt>
                <c:pt idx="5">
                  <c:v>1.525659056211027</c:v>
                </c:pt>
                <c:pt idx="6">
                  <c:v>3.0202841163042229</c:v>
                </c:pt>
                <c:pt idx="7">
                  <c:v>4.2518333153873407</c:v>
                </c:pt>
                <c:pt idx="8">
                  <c:v>5.0536936599806204</c:v>
                </c:pt>
                <c:pt idx="9">
                  <c:v>5.4515400278168125</c:v>
                </c:pt>
                <c:pt idx="10">
                  <c:v>5.5864859963189719</c:v>
                </c:pt>
                <c:pt idx="11">
                  <c:v>5.6010313366534739</c:v>
                </c:pt>
                <c:pt idx="12">
                  <c:v>5.5242899851951037</c:v>
                </c:pt>
                <c:pt idx="13">
                  <c:v>5.1952587562276165</c:v>
                </c:pt>
                <c:pt idx="14">
                  <c:v>4.2651635117191518</c:v>
                </c:pt>
                <c:pt idx="15">
                  <c:v>2.3221959559995753</c:v>
                </c:pt>
                <c:pt idx="16">
                  <c:v>-0.81576932484966846</c:v>
                </c:pt>
                <c:pt idx="17">
                  <c:v>-4.5926115070250262</c:v>
                </c:pt>
                <c:pt idx="18">
                  <c:v>-6.9394113326736715</c:v>
                </c:pt>
                <c:pt idx="19">
                  <c:v>-3.1814910973082533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7-4F5D-96B8-6E6B01A0B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337359"/>
        <c:axId val="296235583"/>
      </c:scatterChart>
      <c:valAx>
        <c:axId val="501337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6235583"/>
        <c:crosses val="autoZero"/>
        <c:crossBetween val="midCat"/>
      </c:valAx>
      <c:valAx>
        <c:axId val="2962355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3373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4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Лист!$F$5:$F$24</c:f>
              <c:numCache>
                <c:formatCode>General</c:formatCode>
                <c:ptCount val="20"/>
                <c:pt idx="0">
                  <c:v>1</c:v>
                </c:pt>
                <c:pt idx="1">
                  <c:v>16</c:v>
                </c:pt>
                <c:pt idx="2">
                  <c:v>81</c:v>
                </c:pt>
                <c:pt idx="3">
                  <c:v>256</c:v>
                </c:pt>
                <c:pt idx="4">
                  <c:v>625</c:v>
                </c:pt>
                <c:pt idx="5">
                  <c:v>1296</c:v>
                </c:pt>
                <c:pt idx="6">
                  <c:v>2401</c:v>
                </c:pt>
                <c:pt idx="7">
                  <c:v>4096</c:v>
                </c:pt>
                <c:pt idx="8">
                  <c:v>6561</c:v>
                </c:pt>
                <c:pt idx="9">
                  <c:v>10000</c:v>
                </c:pt>
                <c:pt idx="10">
                  <c:v>14641</c:v>
                </c:pt>
                <c:pt idx="11">
                  <c:v>20736</c:v>
                </c:pt>
                <c:pt idx="12">
                  <c:v>28561</c:v>
                </c:pt>
                <c:pt idx="13">
                  <c:v>38416</c:v>
                </c:pt>
                <c:pt idx="14">
                  <c:v>50625</c:v>
                </c:pt>
                <c:pt idx="15">
                  <c:v>65536</c:v>
                </c:pt>
                <c:pt idx="16">
                  <c:v>83521</c:v>
                </c:pt>
                <c:pt idx="17">
                  <c:v>104976</c:v>
                </c:pt>
                <c:pt idx="18">
                  <c:v>130321</c:v>
                </c:pt>
                <c:pt idx="19">
                  <c:v>160000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E7-45BF-A53B-B1BC3D3BA2C6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Лист!$F$5:$F$24</c:f>
              <c:numCache>
                <c:formatCode>General</c:formatCode>
                <c:ptCount val="20"/>
                <c:pt idx="0">
                  <c:v>1</c:v>
                </c:pt>
                <c:pt idx="1">
                  <c:v>16</c:v>
                </c:pt>
                <c:pt idx="2">
                  <c:v>81</c:v>
                </c:pt>
                <c:pt idx="3">
                  <c:v>256</c:v>
                </c:pt>
                <c:pt idx="4">
                  <c:v>625</c:v>
                </c:pt>
                <c:pt idx="5">
                  <c:v>1296</c:v>
                </c:pt>
                <c:pt idx="6">
                  <c:v>2401</c:v>
                </c:pt>
                <c:pt idx="7">
                  <c:v>4096</c:v>
                </c:pt>
                <c:pt idx="8">
                  <c:v>6561</c:v>
                </c:pt>
                <c:pt idx="9">
                  <c:v>10000</c:v>
                </c:pt>
                <c:pt idx="10">
                  <c:v>14641</c:v>
                </c:pt>
                <c:pt idx="11">
                  <c:v>20736</c:v>
                </c:pt>
                <c:pt idx="12">
                  <c:v>28561</c:v>
                </c:pt>
                <c:pt idx="13">
                  <c:v>38416</c:v>
                </c:pt>
                <c:pt idx="14">
                  <c:v>50625</c:v>
                </c:pt>
                <c:pt idx="15">
                  <c:v>65536</c:v>
                </c:pt>
                <c:pt idx="16">
                  <c:v>83521</c:v>
                </c:pt>
                <c:pt idx="17">
                  <c:v>104976</c:v>
                </c:pt>
                <c:pt idx="18">
                  <c:v>130321</c:v>
                </c:pt>
                <c:pt idx="19">
                  <c:v>160000</c:v>
                </c:pt>
              </c:numCache>
            </c:numRef>
          </c:xVal>
          <c:yVal>
            <c:numRef>
              <c:f>'8'!$B$32:$B$51</c:f>
              <c:numCache>
                <c:formatCode>General</c:formatCode>
                <c:ptCount val="20"/>
                <c:pt idx="0">
                  <c:v>0.35548281573620727</c:v>
                </c:pt>
                <c:pt idx="1">
                  <c:v>0.15476624169342831</c:v>
                </c:pt>
                <c:pt idx="2">
                  <c:v>-0.62506093494788151</c:v>
                </c:pt>
                <c:pt idx="3">
                  <c:v>-0.6956380554990591</c:v>
                </c:pt>
                <c:pt idx="4">
                  <c:v>0.13229747706888884</c:v>
                </c:pt>
                <c:pt idx="5">
                  <c:v>1.525659056211027</c:v>
                </c:pt>
                <c:pt idx="6">
                  <c:v>3.0202841163042229</c:v>
                </c:pt>
                <c:pt idx="7">
                  <c:v>4.2518333153873407</c:v>
                </c:pt>
                <c:pt idx="8">
                  <c:v>5.0536936599806204</c:v>
                </c:pt>
                <c:pt idx="9">
                  <c:v>5.4515400278168125</c:v>
                </c:pt>
                <c:pt idx="10">
                  <c:v>5.5864859963189719</c:v>
                </c:pt>
                <c:pt idx="11">
                  <c:v>5.6010313366534739</c:v>
                </c:pt>
                <c:pt idx="12">
                  <c:v>5.5242899851951037</c:v>
                </c:pt>
                <c:pt idx="13">
                  <c:v>5.1952587562276165</c:v>
                </c:pt>
                <c:pt idx="14">
                  <c:v>4.2651635117191518</c:v>
                </c:pt>
                <c:pt idx="15">
                  <c:v>2.3221959559995753</c:v>
                </c:pt>
                <c:pt idx="16">
                  <c:v>-0.81576932484966846</c:v>
                </c:pt>
                <c:pt idx="17">
                  <c:v>-4.5926115070250262</c:v>
                </c:pt>
                <c:pt idx="18">
                  <c:v>-6.9394113326736715</c:v>
                </c:pt>
                <c:pt idx="19">
                  <c:v>-3.1814910973082533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E7-45BF-A53B-B1BC3D3B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463103"/>
        <c:axId val="202340479"/>
      </c:scatterChart>
      <c:valAx>
        <c:axId val="350463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4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2340479"/>
        <c:crosses val="autoZero"/>
        <c:crossBetween val="midCat"/>
      </c:valAx>
      <c:valAx>
        <c:axId val="2023404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5046310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5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Лист!$G$5:$G$24</c:f>
              <c:numCache>
                <c:formatCode>General</c:formatCode>
                <c:ptCount val="20"/>
                <c:pt idx="0">
                  <c:v>1</c:v>
                </c:pt>
                <c:pt idx="1">
                  <c:v>32</c:v>
                </c:pt>
                <c:pt idx="2">
                  <c:v>243</c:v>
                </c:pt>
                <c:pt idx="3">
                  <c:v>1024</c:v>
                </c:pt>
                <c:pt idx="4">
                  <c:v>3125</c:v>
                </c:pt>
                <c:pt idx="5">
                  <c:v>7776</c:v>
                </c:pt>
                <c:pt idx="6">
                  <c:v>16807</c:v>
                </c:pt>
                <c:pt idx="7">
                  <c:v>32768</c:v>
                </c:pt>
                <c:pt idx="8">
                  <c:v>59049</c:v>
                </c:pt>
                <c:pt idx="9">
                  <c:v>100000</c:v>
                </c:pt>
                <c:pt idx="10">
                  <c:v>161051</c:v>
                </c:pt>
                <c:pt idx="11">
                  <c:v>248832</c:v>
                </c:pt>
                <c:pt idx="12">
                  <c:v>371293</c:v>
                </c:pt>
                <c:pt idx="13">
                  <c:v>537824</c:v>
                </c:pt>
                <c:pt idx="14">
                  <c:v>759375</c:v>
                </c:pt>
                <c:pt idx="15">
                  <c:v>1048576</c:v>
                </c:pt>
                <c:pt idx="16">
                  <c:v>1419857</c:v>
                </c:pt>
                <c:pt idx="17">
                  <c:v>1889568</c:v>
                </c:pt>
                <c:pt idx="18">
                  <c:v>2476099</c:v>
                </c:pt>
                <c:pt idx="19">
                  <c:v>3200000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039-44EA-985F-EFADDA0567D5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Лист!$G$5:$G$24</c:f>
              <c:numCache>
                <c:formatCode>General</c:formatCode>
                <c:ptCount val="20"/>
                <c:pt idx="0">
                  <c:v>1</c:v>
                </c:pt>
                <c:pt idx="1">
                  <c:v>32</c:v>
                </c:pt>
                <c:pt idx="2">
                  <c:v>243</c:v>
                </c:pt>
                <c:pt idx="3">
                  <c:v>1024</c:v>
                </c:pt>
                <c:pt idx="4">
                  <c:v>3125</c:v>
                </c:pt>
                <c:pt idx="5">
                  <c:v>7776</c:v>
                </c:pt>
                <c:pt idx="6">
                  <c:v>16807</c:v>
                </c:pt>
                <c:pt idx="7">
                  <c:v>32768</c:v>
                </c:pt>
                <c:pt idx="8">
                  <c:v>59049</c:v>
                </c:pt>
                <c:pt idx="9">
                  <c:v>100000</c:v>
                </c:pt>
                <c:pt idx="10">
                  <c:v>161051</c:v>
                </c:pt>
                <c:pt idx="11">
                  <c:v>248832</c:v>
                </c:pt>
                <c:pt idx="12">
                  <c:v>371293</c:v>
                </c:pt>
                <c:pt idx="13">
                  <c:v>537824</c:v>
                </c:pt>
                <c:pt idx="14">
                  <c:v>759375</c:v>
                </c:pt>
                <c:pt idx="15">
                  <c:v>1048576</c:v>
                </c:pt>
                <c:pt idx="16">
                  <c:v>1419857</c:v>
                </c:pt>
                <c:pt idx="17">
                  <c:v>1889568</c:v>
                </c:pt>
                <c:pt idx="18">
                  <c:v>2476099</c:v>
                </c:pt>
                <c:pt idx="19">
                  <c:v>3200000</c:v>
                </c:pt>
              </c:numCache>
            </c:numRef>
          </c:xVal>
          <c:yVal>
            <c:numRef>
              <c:f>'8'!$B$32:$B$51</c:f>
              <c:numCache>
                <c:formatCode>General</c:formatCode>
                <c:ptCount val="20"/>
                <c:pt idx="0">
                  <c:v>0.35548281573620727</c:v>
                </c:pt>
                <c:pt idx="1">
                  <c:v>0.15476624169342831</c:v>
                </c:pt>
                <c:pt idx="2">
                  <c:v>-0.62506093494788151</c:v>
                </c:pt>
                <c:pt idx="3">
                  <c:v>-0.6956380554990591</c:v>
                </c:pt>
                <c:pt idx="4">
                  <c:v>0.13229747706888884</c:v>
                </c:pt>
                <c:pt idx="5">
                  <c:v>1.525659056211027</c:v>
                </c:pt>
                <c:pt idx="6">
                  <c:v>3.0202841163042229</c:v>
                </c:pt>
                <c:pt idx="7">
                  <c:v>4.2518333153873407</c:v>
                </c:pt>
                <c:pt idx="8">
                  <c:v>5.0536936599806204</c:v>
                </c:pt>
                <c:pt idx="9">
                  <c:v>5.4515400278168125</c:v>
                </c:pt>
                <c:pt idx="10">
                  <c:v>5.5864859963189719</c:v>
                </c:pt>
                <c:pt idx="11">
                  <c:v>5.6010313366534739</c:v>
                </c:pt>
                <c:pt idx="12">
                  <c:v>5.5242899851951037</c:v>
                </c:pt>
                <c:pt idx="13">
                  <c:v>5.1952587562276165</c:v>
                </c:pt>
                <c:pt idx="14">
                  <c:v>4.2651635117191518</c:v>
                </c:pt>
                <c:pt idx="15">
                  <c:v>2.3221959559995753</c:v>
                </c:pt>
                <c:pt idx="16">
                  <c:v>-0.81576932484966846</c:v>
                </c:pt>
                <c:pt idx="17">
                  <c:v>-4.5926115070250262</c:v>
                </c:pt>
                <c:pt idx="18">
                  <c:v>-6.9394113326736715</c:v>
                </c:pt>
                <c:pt idx="19">
                  <c:v>-3.1814910973082533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039-44EA-985F-EFADDA056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253455"/>
        <c:axId val="2136782143"/>
      </c:scatterChart>
      <c:valAx>
        <c:axId val="6142534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36782143"/>
        <c:crosses val="autoZero"/>
        <c:crossBetween val="midCat"/>
      </c:valAx>
      <c:valAx>
        <c:axId val="21367821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425345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6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Лист!$H$5:$H$24</c:f>
              <c:numCache>
                <c:formatCode>General</c:formatCode>
                <c:ptCount val="20"/>
                <c:pt idx="0">
                  <c:v>1</c:v>
                </c:pt>
                <c:pt idx="1">
                  <c:v>64</c:v>
                </c:pt>
                <c:pt idx="2">
                  <c:v>729</c:v>
                </c:pt>
                <c:pt idx="3">
                  <c:v>4096</c:v>
                </c:pt>
                <c:pt idx="4">
                  <c:v>15625</c:v>
                </c:pt>
                <c:pt idx="5">
                  <c:v>46656</c:v>
                </c:pt>
                <c:pt idx="6">
                  <c:v>117649</c:v>
                </c:pt>
                <c:pt idx="7">
                  <c:v>262144</c:v>
                </c:pt>
                <c:pt idx="8">
                  <c:v>531441</c:v>
                </c:pt>
                <c:pt idx="9">
                  <c:v>1000000</c:v>
                </c:pt>
                <c:pt idx="10">
                  <c:v>1771561</c:v>
                </c:pt>
                <c:pt idx="11">
                  <c:v>2985984</c:v>
                </c:pt>
                <c:pt idx="12">
                  <c:v>4826809</c:v>
                </c:pt>
                <c:pt idx="13">
                  <c:v>7529536</c:v>
                </c:pt>
                <c:pt idx="14">
                  <c:v>11390625</c:v>
                </c:pt>
                <c:pt idx="15">
                  <c:v>16777216</c:v>
                </c:pt>
                <c:pt idx="16">
                  <c:v>24137569</c:v>
                </c:pt>
                <c:pt idx="17">
                  <c:v>34012224</c:v>
                </c:pt>
                <c:pt idx="18">
                  <c:v>47045881</c:v>
                </c:pt>
                <c:pt idx="19">
                  <c:v>64000000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8C5-46E2-8677-2B922C01BC12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Лист!$H$5:$H$24</c:f>
              <c:numCache>
                <c:formatCode>General</c:formatCode>
                <c:ptCount val="20"/>
                <c:pt idx="0">
                  <c:v>1</c:v>
                </c:pt>
                <c:pt idx="1">
                  <c:v>64</c:v>
                </c:pt>
                <c:pt idx="2">
                  <c:v>729</c:v>
                </c:pt>
                <c:pt idx="3">
                  <c:v>4096</c:v>
                </c:pt>
                <c:pt idx="4">
                  <c:v>15625</c:v>
                </c:pt>
                <c:pt idx="5">
                  <c:v>46656</c:v>
                </c:pt>
                <c:pt idx="6">
                  <c:v>117649</c:v>
                </c:pt>
                <c:pt idx="7">
                  <c:v>262144</c:v>
                </c:pt>
                <c:pt idx="8">
                  <c:v>531441</c:v>
                </c:pt>
                <c:pt idx="9">
                  <c:v>1000000</c:v>
                </c:pt>
                <c:pt idx="10">
                  <c:v>1771561</c:v>
                </c:pt>
                <c:pt idx="11">
                  <c:v>2985984</c:v>
                </c:pt>
                <c:pt idx="12">
                  <c:v>4826809</c:v>
                </c:pt>
                <c:pt idx="13">
                  <c:v>7529536</c:v>
                </c:pt>
                <c:pt idx="14">
                  <c:v>11390625</c:v>
                </c:pt>
                <c:pt idx="15">
                  <c:v>16777216</c:v>
                </c:pt>
                <c:pt idx="16">
                  <c:v>24137569</c:v>
                </c:pt>
                <c:pt idx="17">
                  <c:v>34012224</c:v>
                </c:pt>
                <c:pt idx="18">
                  <c:v>47045881</c:v>
                </c:pt>
                <c:pt idx="19">
                  <c:v>64000000</c:v>
                </c:pt>
              </c:numCache>
            </c:numRef>
          </c:xVal>
          <c:yVal>
            <c:numRef>
              <c:f>'8'!$B$32:$B$51</c:f>
              <c:numCache>
                <c:formatCode>General</c:formatCode>
                <c:ptCount val="20"/>
                <c:pt idx="0">
                  <c:v>0.35548281573620727</c:v>
                </c:pt>
                <c:pt idx="1">
                  <c:v>0.15476624169342831</c:v>
                </c:pt>
                <c:pt idx="2">
                  <c:v>-0.62506093494788151</c:v>
                </c:pt>
                <c:pt idx="3">
                  <c:v>-0.6956380554990591</c:v>
                </c:pt>
                <c:pt idx="4">
                  <c:v>0.13229747706888884</c:v>
                </c:pt>
                <c:pt idx="5">
                  <c:v>1.525659056211027</c:v>
                </c:pt>
                <c:pt idx="6">
                  <c:v>3.0202841163042229</c:v>
                </c:pt>
                <c:pt idx="7">
                  <c:v>4.2518333153873407</c:v>
                </c:pt>
                <c:pt idx="8">
                  <c:v>5.0536936599806204</c:v>
                </c:pt>
                <c:pt idx="9">
                  <c:v>5.4515400278168125</c:v>
                </c:pt>
                <c:pt idx="10">
                  <c:v>5.5864859963189719</c:v>
                </c:pt>
                <c:pt idx="11">
                  <c:v>5.6010313366534739</c:v>
                </c:pt>
                <c:pt idx="12">
                  <c:v>5.5242899851951037</c:v>
                </c:pt>
                <c:pt idx="13">
                  <c:v>5.1952587562276165</c:v>
                </c:pt>
                <c:pt idx="14">
                  <c:v>4.2651635117191518</c:v>
                </c:pt>
                <c:pt idx="15">
                  <c:v>2.3221959559995753</c:v>
                </c:pt>
                <c:pt idx="16">
                  <c:v>-0.81576932484966846</c:v>
                </c:pt>
                <c:pt idx="17">
                  <c:v>-4.5926115070250262</c:v>
                </c:pt>
                <c:pt idx="18">
                  <c:v>-6.9394113326736715</c:v>
                </c:pt>
                <c:pt idx="19">
                  <c:v>-3.1814910973082533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8C5-46E2-8677-2B922C01B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263855"/>
        <c:axId val="2136782559"/>
      </c:scatterChart>
      <c:valAx>
        <c:axId val="614263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6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36782559"/>
        <c:crosses val="autoZero"/>
        <c:crossBetween val="midCat"/>
      </c:valAx>
      <c:valAx>
        <c:axId val="21367825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426385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7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Лист!$I$5:$I$24</c:f>
              <c:numCache>
                <c:formatCode>General</c:formatCode>
                <c:ptCount val="20"/>
                <c:pt idx="0">
                  <c:v>1</c:v>
                </c:pt>
                <c:pt idx="1">
                  <c:v>128</c:v>
                </c:pt>
                <c:pt idx="2">
                  <c:v>2187</c:v>
                </c:pt>
                <c:pt idx="3">
                  <c:v>16384</c:v>
                </c:pt>
                <c:pt idx="4">
                  <c:v>78125</c:v>
                </c:pt>
                <c:pt idx="5">
                  <c:v>279936</c:v>
                </c:pt>
                <c:pt idx="6">
                  <c:v>823543</c:v>
                </c:pt>
                <c:pt idx="7">
                  <c:v>2097152</c:v>
                </c:pt>
                <c:pt idx="8">
                  <c:v>4782969</c:v>
                </c:pt>
                <c:pt idx="9">
                  <c:v>10000000</c:v>
                </c:pt>
                <c:pt idx="10">
                  <c:v>19487171</c:v>
                </c:pt>
                <c:pt idx="11">
                  <c:v>35831808</c:v>
                </c:pt>
                <c:pt idx="12">
                  <c:v>62748517</c:v>
                </c:pt>
                <c:pt idx="13">
                  <c:v>105413504</c:v>
                </c:pt>
                <c:pt idx="14">
                  <c:v>170859375</c:v>
                </c:pt>
                <c:pt idx="15">
                  <c:v>268435456</c:v>
                </c:pt>
                <c:pt idx="16">
                  <c:v>410338673</c:v>
                </c:pt>
                <c:pt idx="17">
                  <c:v>612220032</c:v>
                </c:pt>
                <c:pt idx="18">
                  <c:v>893871739</c:v>
                </c:pt>
                <c:pt idx="19">
                  <c:v>1280000000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5FF-4323-82CE-98540D2BA079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Лист!$I$5:$I$24</c:f>
              <c:numCache>
                <c:formatCode>General</c:formatCode>
                <c:ptCount val="20"/>
                <c:pt idx="0">
                  <c:v>1</c:v>
                </c:pt>
                <c:pt idx="1">
                  <c:v>128</c:v>
                </c:pt>
                <c:pt idx="2">
                  <c:v>2187</c:v>
                </c:pt>
                <c:pt idx="3">
                  <c:v>16384</c:v>
                </c:pt>
                <c:pt idx="4">
                  <c:v>78125</c:v>
                </c:pt>
                <c:pt idx="5">
                  <c:v>279936</c:v>
                </c:pt>
                <c:pt idx="6">
                  <c:v>823543</c:v>
                </c:pt>
                <c:pt idx="7">
                  <c:v>2097152</c:v>
                </c:pt>
                <c:pt idx="8">
                  <c:v>4782969</c:v>
                </c:pt>
                <c:pt idx="9">
                  <c:v>10000000</c:v>
                </c:pt>
                <c:pt idx="10">
                  <c:v>19487171</c:v>
                </c:pt>
                <c:pt idx="11">
                  <c:v>35831808</c:v>
                </c:pt>
                <c:pt idx="12">
                  <c:v>62748517</c:v>
                </c:pt>
                <c:pt idx="13">
                  <c:v>105413504</c:v>
                </c:pt>
                <c:pt idx="14">
                  <c:v>170859375</c:v>
                </c:pt>
                <c:pt idx="15">
                  <c:v>268435456</c:v>
                </c:pt>
                <c:pt idx="16">
                  <c:v>410338673</c:v>
                </c:pt>
                <c:pt idx="17">
                  <c:v>612220032</c:v>
                </c:pt>
                <c:pt idx="18">
                  <c:v>893871739</c:v>
                </c:pt>
                <c:pt idx="19">
                  <c:v>1280000000</c:v>
                </c:pt>
              </c:numCache>
            </c:numRef>
          </c:xVal>
          <c:yVal>
            <c:numRef>
              <c:f>'8'!$B$32:$B$51</c:f>
              <c:numCache>
                <c:formatCode>General</c:formatCode>
                <c:ptCount val="20"/>
                <c:pt idx="0">
                  <c:v>0.35548281573620727</c:v>
                </c:pt>
                <c:pt idx="1">
                  <c:v>0.15476624169342831</c:v>
                </c:pt>
                <c:pt idx="2">
                  <c:v>-0.62506093494788151</c:v>
                </c:pt>
                <c:pt idx="3">
                  <c:v>-0.6956380554990591</c:v>
                </c:pt>
                <c:pt idx="4">
                  <c:v>0.13229747706888884</c:v>
                </c:pt>
                <c:pt idx="5">
                  <c:v>1.525659056211027</c:v>
                </c:pt>
                <c:pt idx="6">
                  <c:v>3.0202841163042229</c:v>
                </c:pt>
                <c:pt idx="7">
                  <c:v>4.2518333153873407</c:v>
                </c:pt>
                <c:pt idx="8">
                  <c:v>5.0536936599806204</c:v>
                </c:pt>
                <c:pt idx="9">
                  <c:v>5.4515400278168125</c:v>
                </c:pt>
                <c:pt idx="10">
                  <c:v>5.5864859963189719</c:v>
                </c:pt>
                <c:pt idx="11">
                  <c:v>5.6010313366534739</c:v>
                </c:pt>
                <c:pt idx="12">
                  <c:v>5.5242899851951037</c:v>
                </c:pt>
                <c:pt idx="13">
                  <c:v>5.1952587562276165</c:v>
                </c:pt>
                <c:pt idx="14">
                  <c:v>4.2651635117191518</c:v>
                </c:pt>
                <c:pt idx="15">
                  <c:v>2.3221959559995753</c:v>
                </c:pt>
                <c:pt idx="16">
                  <c:v>-0.81576932484966846</c:v>
                </c:pt>
                <c:pt idx="17">
                  <c:v>-4.5926115070250262</c:v>
                </c:pt>
                <c:pt idx="18">
                  <c:v>-6.9394113326736715</c:v>
                </c:pt>
                <c:pt idx="19">
                  <c:v>-3.1814910973082533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5FF-4323-82CE-98540D2BA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324159"/>
        <c:axId val="296235999"/>
      </c:scatterChart>
      <c:valAx>
        <c:axId val="501324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7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6235999"/>
        <c:crosses val="autoZero"/>
        <c:crossBetween val="midCat"/>
      </c:valAx>
      <c:valAx>
        <c:axId val="2962359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3241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8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Лист!$J$5:$J$24</c:f>
              <c:numCache>
                <c:formatCode>General</c:formatCode>
                <c:ptCount val="20"/>
                <c:pt idx="0">
                  <c:v>1</c:v>
                </c:pt>
                <c:pt idx="1">
                  <c:v>256</c:v>
                </c:pt>
                <c:pt idx="2">
                  <c:v>6561</c:v>
                </c:pt>
                <c:pt idx="3">
                  <c:v>65536</c:v>
                </c:pt>
                <c:pt idx="4">
                  <c:v>390625</c:v>
                </c:pt>
                <c:pt idx="5">
                  <c:v>1679616</c:v>
                </c:pt>
                <c:pt idx="6">
                  <c:v>5764801</c:v>
                </c:pt>
                <c:pt idx="7">
                  <c:v>16777216</c:v>
                </c:pt>
                <c:pt idx="8">
                  <c:v>43046721</c:v>
                </c:pt>
                <c:pt idx="9">
                  <c:v>100000000</c:v>
                </c:pt>
                <c:pt idx="10">
                  <c:v>214358881</c:v>
                </c:pt>
                <c:pt idx="11">
                  <c:v>429981696</c:v>
                </c:pt>
                <c:pt idx="12">
                  <c:v>815730721</c:v>
                </c:pt>
                <c:pt idx="13">
                  <c:v>1475789056</c:v>
                </c:pt>
                <c:pt idx="14">
                  <c:v>2562890625</c:v>
                </c:pt>
                <c:pt idx="15">
                  <c:v>4294967296</c:v>
                </c:pt>
                <c:pt idx="16">
                  <c:v>6975757441</c:v>
                </c:pt>
                <c:pt idx="17">
                  <c:v>11019960576</c:v>
                </c:pt>
                <c:pt idx="18">
                  <c:v>16983563041</c:v>
                </c:pt>
                <c:pt idx="19">
                  <c:v>25600000000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7F3-4CBE-9FB4-18AB1160C465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Лист!$J$5:$J$24</c:f>
              <c:numCache>
                <c:formatCode>General</c:formatCode>
                <c:ptCount val="20"/>
                <c:pt idx="0">
                  <c:v>1</c:v>
                </c:pt>
                <c:pt idx="1">
                  <c:v>256</c:v>
                </c:pt>
                <c:pt idx="2">
                  <c:v>6561</c:v>
                </c:pt>
                <c:pt idx="3">
                  <c:v>65536</c:v>
                </c:pt>
                <c:pt idx="4">
                  <c:v>390625</c:v>
                </c:pt>
                <c:pt idx="5">
                  <c:v>1679616</c:v>
                </c:pt>
                <c:pt idx="6">
                  <c:v>5764801</c:v>
                </c:pt>
                <c:pt idx="7">
                  <c:v>16777216</c:v>
                </c:pt>
                <c:pt idx="8">
                  <c:v>43046721</c:v>
                </c:pt>
                <c:pt idx="9">
                  <c:v>100000000</c:v>
                </c:pt>
                <c:pt idx="10">
                  <c:v>214358881</c:v>
                </c:pt>
                <c:pt idx="11">
                  <c:v>429981696</c:v>
                </c:pt>
                <c:pt idx="12">
                  <c:v>815730721</c:v>
                </c:pt>
                <c:pt idx="13">
                  <c:v>1475789056</c:v>
                </c:pt>
                <c:pt idx="14">
                  <c:v>2562890625</c:v>
                </c:pt>
                <c:pt idx="15">
                  <c:v>4294967296</c:v>
                </c:pt>
                <c:pt idx="16">
                  <c:v>6975757441</c:v>
                </c:pt>
                <c:pt idx="17">
                  <c:v>11019960576</c:v>
                </c:pt>
                <c:pt idx="18">
                  <c:v>16983563041</c:v>
                </c:pt>
                <c:pt idx="19">
                  <c:v>25600000000</c:v>
                </c:pt>
              </c:numCache>
            </c:numRef>
          </c:xVal>
          <c:yVal>
            <c:numRef>
              <c:f>'8'!$B$32:$B$51</c:f>
              <c:numCache>
                <c:formatCode>General</c:formatCode>
                <c:ptCount val="20"/>
                <c:pt idx="0">
                  <c:v>0.35548281573620727</c:v>
                </c:pt>
                <c:pt idx="1">
                  <c:v>0.15476624169342831</c:v>
                </c:pt>
                <c:pt idx="2">
                  <c:v>-0.62506093494788151</c:v>
                </c:pt>
                <c:pt idx="3">
                  <c:v>-0.6956380554990591</c:v>
                </c:pt>
                <c:pt idx="4">
                  <c:v>0.13229747706888884</c:v>
                </c:pt>
                <c:pt idx="5">
                  <c:v>1.525659056211027</c:v>
                </c:pt>
                <c:pt idx="6">
                  <c:v>3.0202841163042229</c:v>
                </c:pt>
                <c:pt idx="7">
                  <c:v>4.2518333153873407</c:v>
                </c:pt>
                <c:pt idx="8">
                  <c:v>5.0536936599806204</c:v>
                </c:pt>
                <c:pt idx="9">
                  <c:v>5.4515400278168125</c:v>
                </c:pt>
                <c:pt idx="10">
                  <c:v>5.5864859963189719</c:v>
                </c:pt>
                <c:pt idx="11">
                  <c:v>5.6010313366534739</c:v>
                </c:pt>
                <c:pt idx="12">
                  <c:v>5.5242899851951037</c:v>
                </c:pt>
                <c:pt idx="13">
                  <c:v>5.1952587562276165</c:v>
                </c:pt>
                <c:pt idx="14">
                  <c:v>4.2651635117191518</c:v>
                </c:pt>
                <c:pt idx="15">
                  <c:v>2.3221959559995753</c:v>
                </c:pt>
                <c:pt idx="16">
                  <c:v>-0.81576932484966846</c:v>
                </c:pt>
                <c:pt idx="17">
                  <c:v>-4.5926115070250262</c:v>
                </c:pt>
                <c:pt idx="18">
                  <c:v>-6.9394113326736715</c:v>
                </c:pt>
                <c:pt idx="19">
                  <c:v>-3.1814910973082533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7F3-4CBE-9FB4-18AB1160C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459103"/>
        <c:axId val="202342143"/>
      </c:scatterChart>
      <c:valAx>
        <c:axId val="350459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8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2342143"/>
        <c:crosses val="autoZero"/>
        <c:crossBetween val="midCat"/>
      </c:valAx>
      <c:valAx>
        <c:axId val="2023421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5045910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1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Лист!$C$5:$C$24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6EE-4F74-AA0D-9D37B6850A57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Лист!$C$5:$C$24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'7'!$B$31:$B$50</c:f>
              <c:numCache>
                <c:formatCode>General</c:formatCode>
                <c:ptCount val="20"/>
                <c:pt idx="0">
                  <c:v>0.34211383399804202</c:v>
                </c:pt>
                <c:pt idx="1">
                  <c:v>0.19205866444518563</c:v>
                </c:pt>
                <c:pt idx="2">
                  <c:v>-0.63561539421855673</c:v>
                </c:pt>
                <c:pt idx="3">
                  <c:v>-0.72506637134484508</c:v>
                </c:pt>
                <c:pt idx="4">
                  <c:v>0.12093591209149734</c:v>
                </c:pt>
                <c:pt idx="5">
                  <c:v>1.5406215543535242</c:v>
                </c:pt>
                <c:pt idx="6">
                  <c:v>3.0459252438250424</c:v>
                </c:pt>
                <c:pt idx="7">
                  <c:v>4.2670441537472144</c:v>
                </c:pt>
                <c:pt idx="8">
                  <c:v>5.0476093246372997</c:v>
                </c:pt>
                <c:pt idx="9">
                  <c:v>5.4292307982238555</c:v>
                </c:pt>
                <c:pt idx="10">
                  <c:v>5.5641767667261206</c:v>
                </c:pt>
                <c:pt idx="11">
                  <c:v>5.5949470013114819</c:v>
                </c:pt>
                <c:pt idx="12">
                  <c:v>5.5395008235568639</c:v>
                </c:pt>
                <c:pt idx="13">
                  <c:v>5.2208998837490981</c:v>
                </c:pt>
                <c:pt idx="14">
                  <c:v>4.2801260098642615</c:v>
                </c:pt>
                <c:pt idx="15">
                  <c:v>2.3108343910234908</c:v>
                </c:pt>
                <c:pt idx="16">
                  <c:v>-0.84519764069318626</c:v>
                </c:pt>
                <c:pt idx="17">
                  <c:v>-4.6031659662976381</c:v>
                </c:pt>
                <c:pt idx="18">
                  <c:v>-6.9021189099203184</c:v>
                </c:pt>
                <c:pt idx="19">
                  <c:v>-3.1948600790547061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6EE-4F74-AA0D-9D37B6850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446703"/>
        <c:axId val="202364191"/>
      </c:scatterChart>
      <c:valAx>
        <c:axId val="3504467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2364191"/>
        <c:crosses val="autoZero"/>
        <c:crossBetween val="midCat"/>
      </c:valAx>
      <c:valAx>
        <c:axId val="2023641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5044670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2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Лист!$D$5:$D$24</c:f>
              <c:numCache>
                <c:formatCode>General</c:formatCode>
                <c:ptCount val="20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  <c:pt idx="7">
                  <c:v>64</c:v>
                </c:pt>
                <c:pt idx="8">
                  <c:v>81</c:v>
                </c:pt>
                <c:pt idx="9">
                  <c:v>100</c:v>
                </c:pt>
                <c:pt idx="10">
                  <c:v>121</c:v>
                </c:pt>
                <c:pt idx="11">
                  <c:v>144</c:v>
                </c:pt>
                <c:pt idx="12">
                  <c:v>169</c:v>
                </c:pt>
                <c:pt idx="13">
                  <c:v>196</c:v>
                </c:pt>
                <c:pt idx="14">
                  <c:v>225</c:v>
                </c:pt>
                <c:pt idx="15">
                  <c:v>256</c:v>
                </c:pt>
                <c:pt idx="16">
                  <c:v>289</c:v>
                </c:pt>
                <c:pt idx="17">
                  <c:v>324</c:v>
                </c:pt>
                <c:pt idx="18">
                  <c:v>361</c:v>
                </c:pt>
                <c:pt idx="19">
                  <c:v>400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D5-4DA4-82D4-705D09D72157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Лист!$D$5:$D$24</c:f>
              <c:numCache>
                <c:formatCode>General</c:formatCode>
                <c:ptCount val="20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  <c:pt idx="7">
                  <c:v>64</c:v>
                </c:pt>
                <c:pt idx="8">
                  <c:v>81</c:v>
                </c:pt>
                <c:pt idx="9">
                  <c:v>100</c:v>
                </c:pt>
                <c:pt idx="10">
                  <c:v>121</c:v>
                </c:pt>
                <c:pt idx="11">
                  <c:v>144</c:v>
                </c:pt>
                <c:pt idx="12">
                  <c:v>169</c:v>
                </c:pt>
                <c:pt idx="13">
                  <c:v>196</c:v>
                </c:pt>
                <c:pt idx="14">
                  <c:v>225</c:v>
                </c:pt>
                <c:pt idx="15">
                  <c:v>256</c:v>
                </c:pt>
                <c:pt idx="16">
                  <c:v>289</c:v>
                </c:pt>
                <c:pt idx="17">
                  <c:v>324</c:v>
                </c:pt>
                <c:pt idx="18">
                  <c:v>361</c:v>
                </c:pt>
                <c:pt idx="19">
                  <c:v>400</c:v>
                </c:pt>
              </c:numCache>
            </c:numRef>
          </c:xVal>
          <c:yVal>
            <c:numRef>
              <c:f>'7'!$B$31:$B$50</c:f>
              <c:numCache>
                <c:formatCode>General</c:formatCode>
                <c:ptCount val="20"/>
                <c:pt idx="0">
                  <c:v>0.34211383399804202</c:v>
                </c:pt>
                <c:pt idx="1">
                  <c:v>0.19205866444518563</c:v>
                </c:pt>
                <c:pt idx="2">
                  <c:v>-0.63561539421855673</c:v>
                </c:pt>
                <c:pt idx="3">
                  <c:v>-0.72506637134484508</c:v>
                </c:pt>
                <c:pt idx="4">
                  <c:v>0.12093591209149734</c:v>
                </c:pt>
                <c:pt idx="5">
                  <c:v>1.5406215543535242</c:v>
                </c:pt>
                <c:pt idx="6">
                  <c:v>3.0459252438250424</c:v>
                </c:pt>
                <c:pt idx="7">
                  <c:v>4.2670441537472144</c:v>
                </c:pt>
                <c:pt idx="8">
                  <c:v>5.0476093246372997</c:v>
                </c:pt>
                <c:pt idx="9">
                  <c:v>5.4292307982238555</c:v>
                </c:pt>
                <c:pt idx="10">
                  <c:v>5.5641767667261206</c:v>
                </c:pt>
                <c:pt idx="11">
                  <c:v>5.5949470013114819</c:v>
                </c:pt>
                <c:pt idx="12">
                  <c:v>5.5395008235568639</c:v>
                </c:pt>
                <c:pt idx="13">
                  <c:v>5.2208998837490981</c:v>
                </c:pt>
                <c:pt idx="14">
                  <c:v>4.2801260098642615</c:v>
                </c:pt>
                <c:pt idx="15">
                  <c:v>2.3108343910234908</c:v>
                </c:pt>
                <c:pt idx="16">
                  <c:v>-0.84519764069318626</c:v>
                </c:pt>
                <c:pt idx="17">
                  <c:v>-4.6031659662976381</c:v>
                </c:pt>
                <c:pt idx="18">
                  <c:v>-6.9021189099203184</c:v>
                </c:pt>
                <c:pt idx="19">
                  <c:v>-3.1948600790547061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1D5-4DA4-82D4-705D09D72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331759"/>
        <c:axId val="296239743"/>
      </c:scatterChart>
      <c:valAx>
        <c:axId val="5013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6239743"/>
        <c:crosses val="autoZero"/>
        <c:crossBetween val="midCat"/>
      </c:valAx>
      <c:valAx>
        <c:axId val="2962397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3317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3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Лист!$E$5:$E$24</c:f>
              <c:numCache>
                <c:formatCode>General</c:formatCode>
                <c:ptCount val="20"/>
                <c:pt idx="0">
                  <c:v>1</c:v>
                </c:pt>
                <c:pt idx="1">
                  <c:v>8</c:v>
                </c:pt>
                <c:pt idx="2">
                  <c:v>27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729</c:v>
                </c:pt>
                <c:pt idx="9">
                  <c:v>1000</c:v>
                </c:pt>
                <c:pt idx="10">
                  <c:v>1331</c:v>
                </c:pt>
                <c:pt idx="11">
                  <c:v>1728</c:v>
                </c:pt>
                <c:pt idx="12">
                  <c:v>2197</c:v>
                </c:pt>
                <c:pt idx="13">
                  <c:v>2744</c:v>
                </c:pt>
                <c:pt idx="14">
                  <c:v>3375</c:v>
                </c:pt>
                <c:pt idx="15">
                  <c:v>4096</c:v>
                </c:pt>
                <c:pt idx="16">
                  <c:v>4913</c:v>
                </c:pt>
                <c:pt idx="17">
                  <c:v>5832</c:v>
                </c:pt>
                <c:pt idx="18">
                  <c:v>6859</c:v>
                </c:pt>
                <c:pt idx="19">
                  <c:v>8000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A2-4FC6-81B2-1B5EC6673B6B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Лист!$E$5:$E$24</c:f>
              <c:numCache>
                <c:formatCode>General</c:formatCode>
                <c:ptCount val="20"/>
                <c:pt idx="0">
                  <c:v>1</c:v>
                </c:pt>
                <c:pt idx="1">
                  <c:v>8</c:v>
                </c:pt>
                <c:pt idx="2">
                  <c:v>27</c:v>
                </c:pt>
                <c:pt idx="3">
                  <c:v>64</c:v>
                </c:pt>
                <c:pt idx="4">
                  <c:v>125</c:v>
                </c:pt>
                <c:pt idx="5">
                  <c:v>216</c:v>
                </c:pt>
                <c:pt idx="6">
                  <c:v>343</c:v>
                </c:pt>
                <c:pt idx="7">
                  <c:v>512</c:v>
                </c:pt>
                <c:pt idx="8">
                  <c:v>729</c:v>
                </c:pt>
                <c:pt idx="9">
                  <c:v>1000</c:v>
                </c:pt>
                <c:pt idx="10">
                  <c:v>1331</c:v>
                </c:pt>
                <c:pt idx="11">
                  <c:v>1728</c:v>
                </c:pt>
                <c:pt idx="12">
                  <c:v>2197</c:v>
                </c:pt>
                <c:pt idx="13">
                  <c:v>2744</c:v>
                </c:pt>
                <c:pt idx="14">
                  <c:v>3375</c:v>
                </c:pt>
                <c:pt idx="15">
                  <c:v>4096</c:v>
                </c:pt>
                <c:pt idx="16">
                  <c:v>4913</c:v>
                </c:pt>
                <c:pt idx="17">
                  <c:v>5832</c:v>
                </c:pt>
                <c:pt idx="18">
                  <c:v>6859</c:v>
                </c:pt>
                <c:pt idx="19">
                  <c:v>8000</c:v>
                </c:pt>
              </c:numCache>
            </c:numRef>
          </c:xVal>
          <c:yVal>
            <c:numRef>
              <c:f>'7'!$B$31:$B$50</c:f>
              <c:numCache>
                <c:formatCode>General</c:formatCode>
                <c:ptCount val="20"/>
                <c:pt idx="0">
                  <c:v>0.34211383399804202</c:v>
                </c:pt>
                <c:pt idx="1">
                  <c:v>0.19205866444518563</c:v>
                </c:pt>
                <c:pt idx="2">
                  <c:v>-0.63561539421855673</c:v>
                </c:pt>
                <c:pt idx="3">
                  <c:v>-0.72506637134484508</c:v>
                </c:pt>
                <c:pt idx="4">
                  <c:v>0.12093591209149734</c:v>
                </c:pt>
                <c:pt idx="5">
                  <c:v>1.5406215543535242</c:v>
                </c:pt>
                <c:pt idx="6">
                  <c:v>3.0459252438250424</c:v>
                </c:pt>
                <c:pt idx="7">
                  <c:v>4.2670441537472144</c:v>
                </c:pt>
                <c:pt idx="8">
                  <c:v>5.0476093246372997</c:v>
                </c:pt>
                <c:pt idx="9">
                  <c:v>5.4292307982238555</c:v>
                </c:pt>
                <c:pt idx="10">
                  <c:v>5.5641767667261206</c:v>
                </c:pt>
                <c:pt idx="11">
                  <c:v>5.5949470013114819</c:v>
                </c:pt>
                <c:pt idx="12">
                  <c:v>5.5395008235568639</c:v>
                </c:pt>
                <c:pt idx="13">
                  <c:v>5.2208998837490981</c:v>
                </c:pt>
                <c:pt idx="14">
                  <c:v>4.2801260098642615</c:v>
                </c:pt>
                <c:pt idx="15">
                  <c:v>2.3108343910234908</c:v>
                </c:pt>
                <c:pt idx="16">
                  <c:v>-0.84519764069318626</c:v>
                </c:pt>
                <c:pt idx="17">
                  <c:v>-4.6031659662976381</c:v>
                </c:pt>
                <c:pt idx="18">
                  <c:v>-6.9021189099203184</c:v>
                </c:pt>
                <c:pt idx="19">
                  <c:v>-3.1948600790547061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A2-4FC6-81B2-1B5EC6673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450303"/>
        <c:axId val="202365023"/>
      </c:scatterChart>
      <c:valAx>
        <c:axId val="3504503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2365023"/>
        <c:crosses val="autoZero"/>
        <c:crossBetween val="midCat"/>
      </c:valAx>
      <c:valAx>
        <c:axId val="2023650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5045030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4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Лист!$F$5:$F$24</c:f>
              <c:numCache>
                <c:formatCode>General</c:formatCode>
                <c:ptCount val="20"/>
                <c:pt idx="0">
                  <c:v>1</c:v>
                </c:pt>
                <c:pt idx="1">
                  <c:v>16</c:v>
                </c:pt>
                <c:pt idx="2">
                  <c:v>81</c:v>
                </c:pt>
                <c:pt idx="3">
                  <c:v>256</c:v>
                </c:pt>
                <c:pt idx="4">
                  <c:v>625</c:v>
                </c:pt>
                <c:pt idx="5">
                  <c:v>1296</c:v>
                </c:pt>
                <c:pt idx="6">
                  <c:v>2401</c:v>
                </c:pt>
                <c:pt idx="7">
                  <c:v>4096</c:v>
                </c:pt>
                <c:pt idx="8">
                  <c:v>6561</c:v>
                </c:pt>
                <c:pt idx="9">
                  <c:v>10000</c:v>
                </c:pt>
                <c:pt idx="10">
                  <c:v>14641</c:v>
                </c:pt>
                <c:pt idx="11">
                  <c:v>20736</c:v>
                </c:pt>
                <c:pt idx="12">
                  <c:v>28561</c:v>
                </c:pt>
                <c:pt idx="13">
                  <c:v>38416</c:v>
                </c:pt>
                <c:pt idx="14">
                  <c:v>50625</c:v>
                </c:pt>
                <c:pt idx="15">
                  <c:v>65536</c:v>
                </c:pt>
                <c:pt idx="16">
                  <c:v>83521</c:v>
                </c:pt>
                <c:pt idx="17">
                  <c:v>104976</c:v>
                </c:pt>
                <c:pt idx="18">
                  <c:v>130321</c:v>
                </c:pt>
                <c:pt idx="19">
                  <c:v>160000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917-4142-AFC4-6E234B306610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Лист!$F$5:$F$24</c:f>
              <c:numCache>
                <c:formatCode>General</c:formatCode>
                <c:ptCount val="20"/>
                <c:pt idx="0">
                  <c:v>1</c:v>
                </c:pt>
                <c:pt idx="1">
                  <c:v>16</c:v>
                </c:pt>
                <c:pt idx="2">
                  <c:v>81</c:v>
                </c:pt>
                <c:pt idx="3">
                  <c:v>256</c:v>
                </c:pt>
                <c:pt idx="4">
                  <c:v>625</c:v>
                </c:pt>
                <c:pt idx="5">
                  <c:v>1296</c:v>
                </c:pt>
                <c:pt idx="6">
                  <c:v>2401</c:v>
                </c:pt>
                <c:pt idx="7">
                  <c:v>4096</c:v>
                </c:pt>
                <c:pt idx="8">
                  <c:v>6561</c:v>
                </c:pt>
                <c:pt idx="9">
                  <c:v>10000</c:v>
                </c:pt>
                <c:pt idx="10">
                  <c:v>14641</c:v>
                </c:pt>
                <c:pt idx="11">
                  <c:v>20736</c:v>
                </c:pt>
                <c:pt idx="12">
                  <c:v>28561</c:v>
                </c:pt>
                <c:pt idx="13">
                  <c:v>38416</c:v>
                </c:pt>
                <c:pt idx="14">
                  <c:v>50625</c:v>
                </c:pt>
                <c:pt idx="15">
                  <c:v>65536</c:v>
                </c:pt>
                <c:pt idx="16">
                  <c:v>83521</c:v>
                </c:pt>
                <c:pt idx="17">
                  <c:v>104976</c:v>
                </c:pt>
                <c:pt idx="18">
                  <c:v>130321</c:v>
                </c:pt>
                <c:pt idx="19">
                  <c:v>160000</c:v>
                </c:pt>
              </c:numCache>
            </c:numRef>
          </c:xVal>
          <c:yVal>
            <c:numRef>
              <c:f>'7'!$B$31:$B$50</c:f>
              <c:numCache>
                <c:formatCode>General</c:formatCode>
                <c:ptCount val="20"/>
                <c:pt idx="0">
                  <c:v>0.34211383399804202</c:v>
                </c:pt>
                <c:pt idx="1">
                  <c:v>0.19205866444518563</c:v>
                </c:pt>
                <c:pt idx="2">
                  <c:v>-0.63561539421855673</c:v>
                </c:pt>
                <c:pt idx="3">
                  <c:v>-0.72506637134484508</c:v>
                </c:pt>
                <c:pt idx="4">
                  <c:v>0.12093591209149734</c:v>
                </c:pt>
                <c:pt idx="5">
                  <c:v>1.5406215543535242</c:v>
                </c:pt>
                <c:pt idx="6">
                  <c:v>3.0459252438250424</c:v>
                </c:pt>
                <c:pt idx="7">
                  <c:v>4.2670441537472144</c:v>
                </c:pt>
                <c:pt idx="8">
                  <c:v>5.0476093246372997</c:v>
                </c:pt>
                <c:pt idx="9">
                  <c:v>5.4292307982238555</c:v>
                </c:pt>
                <c:pt idx="10">
                  <c:v>5.5641767667261206</c:v>
                </c:pt>
                <c:pt idx="11">
                  <c:v>5.5949470013114819</c:v>
                </c:pt>
                <c:pt idx="12">
                  <c:v>5.5395008235568639</c:v>
                </c:pt>
                <c:pt idx="13">
                  <c:v>5.2208998837490981</c:v>
                </c:pt>
                <c:pt idx="14">
                  <c:v>4.2801260098642615</c:v>
                </c:pt>
                <c:pt idx="15">
                  <c:v>2.3108343910234908</c:v>
                </c:pt>
                <c:pt idx="16">
                  <c:v>-0.84519764069318626</c:v>
                </c:pt>
                <c:pt idx="17">
                  <c:v>-4.6031659662976381</c:v>
                </c:pt>
                <c:pt idx="18">
                  <c:v>-6.9021189099203184</c:v>
                </c:pt>
                <c:pt idx="19">
                  <c:v>-3.1948600790547061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917-4142-AFC4-6E234B306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471903"/>
        <c:axId val="202363359"/>
      </c:scatterChart>
      <c:valAx>
        <c:axId val="3504719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4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2363359"/>
        <c:crosses val="autoZero"/>
        <c:crossBetween val="midCat"/>
      </c:valAx>
      <c:valAx>
        <c:axId val="2023633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5047190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5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Лист!$G$5:$G$24</c:f>
              <c:numCache>
                <c:formatCode>General</c:formatCode>
                <c:ptCount val="20"/>
                <c:pt idx="0">
                  <c:v>1</c:v>
                </c:pt>
                <c:pt idx="1">
                  <c:v>32</c:v>
                </c:pt>
                <c:pt idx="2">
                  <c:v>243</c:v>
                </c:pt>
                <c:pt idx="3">
                  <c:v>1024</c:v>
                </c:pt>
                <c:pt idx="4">
                  <c:v>3125</c:v>
                </c:pt>
                <c:pt idx="5">
                  <c:v>7776</c:v>
                </c:pt>
                <c:pt idx="6">
                  <c:v>16807</c:v>
                </c:pt>
                <c:pt idx="7">
                  <c:v>32768</c:v>
                </c:pt>
                <c:pt idx="8">
                  <c:v>59049</c:v>
                </c:pt>
                <c:pt idx="9">
                  <c:v>100000</c:v>
                </c:pt>
                <c:pt idx="10">
                  <c:v>161051</c:v>
                </c:pt>
                <c:pt idx="11">
                  <c:v>248832</c:v>
                </c:pt>
                <c:pt idx="12">
                  <c:v>371293</c:v>
                </c:pt>
                <c:pt idx="13">
                  <c:v>537824</c:v>
                </c:pt>
                <c:pt idx="14">
                  <c:v>759375</c:v>
                </c:pt>
                <c:pt idx="15">
                  <c:v>1048576</c:v>
                </c:pt>
                <c:pt idx="16">
                  <c:v>1419857</c:v>
                </c:pt>
                <c:pt idx="17">
                  <c:v>1889568</c:v>
                </c:pt>
                <c:pt idx="18">
                  <c:v>2476099</c:v>
                </c:pt>
                <c:pt idx="19">
                  <c:v>3200000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07-4F8A-8785-AAEDD0EC8E04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Лист!$G$5:$G$24</c:f>
              <c:numCache>
                <c:formatCode>General</c:formatCode>
                <c:ptCount val="20"/>
                <c:pt idx="0">
                  <c:v>1</c:v>
                </c:pt>
                <c:pt idx="1">
                  <c:v>32</c:v>
                </c:pt>
                <c:pt idx="2">
                  <c:v>243</c:v>
                </c:pt>
                <c:pt idx="3">
                  <c:v>1024</c:v>
                </c:pt>
                <c:pt idx="4">
                  <c:v>3125</c:v>
                </c:pt>
                <c:pt idx="5">
                  <c:v>7776</c:v>
                </c:pt>
                <c:pt idx="6">
                  <c:v>16807</c:v>
                </c:pt>
                <c:pt idx="7">
                  <c:v>32768</c:v>
                </c:pt>
                <c:pt idx="8">
                  <c:v>59049</c:v>
                </c:pt>
                <c:pt idx="9">
                  <c:v>100000</c:v>
                </c:pt>
                <c:pt idx="10">
                  <c:v>161051</c:v>
                </c:pt>
                <c:pt idx="11">
                  <c:v>248832</c:v>
                </c:pt>
                <c:pt idx="12">
                  <c:v>371293</c:v>
                </c:pt>
                <c:pt idx="13">
                  <c:v>537824</c:v>
                </c:pt>
                <c:pt idx="14">
                  <c:v>759375</c:v>
                </c:pt>
                <c:pt idx="15">
                  <c:v>1048576</c:v>
                </c:pt>
                <c:pt idx="16">
                  <c:v>1419857</c:v>
                </c:pt>
                <c:pt idx="17">
                  <c:v>1889568</c:v>
                </c:pt>
                <c:pt idx="18">
                  <c:v>2476099</c:v>
                </c:pt>
                <c:pt idx="19">
                  <c:v>3200000</c:v>
                </c:pt>
              </c:numCache>
            </c:numRef>
          </c:xVal>
          <c:yVal>
            <c:numRef>
              <c:f>'7'!$B$31:$B$50</c:f>
              <c:numCache>
                <c:formatCode>General</c:formatCode>
                <c:ptCount val="20"/>
                <c:pt idx="0">
                  <c:v>0.34211383399804202</c:v>
                </c:pt>
                <c:pt idx="1">
                  <c:v>0.19205866444518563</c:v>
                </c:pt>
                <c:pt idx="2">
                  <c:v>-0.63561539421855673</c:v>
                </c:pt>
                <c:pt idx="3">
                  <c:v>-0.72506637134484508</c:v>
                </c:pt>
                <c:pt idx="4">
                  <c:v>0.12093591209149734</c:v>
                </c:pt>
                <c:pt idx="5">
                  <c:v>1.5406215543535242</c:v>
                </c:pt>
                <c:pt idx="6">
                  <c:v>3.0459252438250424</c:v>
                </c:pt>
                <c:pt idx="7">
                  <c:v>4.2670441537472144</c:v>
                </c:pt>
                <c:pt idx="8">
                  <c:v>5.0476093246372997</c:v>
                </c:pt>
                <c:pt idx="9">
                  <c:v>5.4292307982238555</c:v>
                </c:pt>
                <c:pt idx="10">
                  <c:v>5.5641767667261206</c:v>
                </c:pt>
                <c:pt idx="11">
                  <c:v>5.5949470013114819</c:v>
                </c:pt>
                <c:pt idx="12">
                  <c:v>5.5395008235568639</c:v>
                </c:pt>
                <c:pt idx="13">
                  <c:v>5.2208998837490981</c:v>
                </c:pt>
                <c:pt idx="14">
                  <c:v>4.2801260098642615</c:v>
                </c:pt>
                <c:pt idx="15">
                  <c:v>2.3108343910234908</c:v>
                </c:pt>
                <c:pt idx="16">
                  <c:v>-0.84519764069318626</c:v>
                </c:pt>
                <c:pt idx="17">
                  <c:v>-4.6031659662976381</c:v>
                </c:pt>
                <c:pt idx="18">
                  <c:v>-6.9021189099203184</c:v>
                </c:pt>
                <c:pt idx="19">
                  <c:v>-3.1948600790547061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07-4F8A-8785-AAEDD0EC8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324559"/>
        <c:axId val="296254303"/>
      </c:scatterChart>
      <c:valAx>
        <c:axId val="5013245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6254303"/>
        <c:crosses val="autoZero"/>
        <c:crossBetween val="midCat"/>
      </c:valAx>
      <c:valAx>
        <c:axId val="2962543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3245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6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Лист!$H$5:$H$24</c:f>
              <c:numCache>
                <c:formatCode>General</c:formatCode>
                <c:ptCount val="20"/>
                <c:pt idx="0">
                  <c:v>1</c:v>
                </c:pt>
                <c:pt idx="1">
                  <c:v>64</c:v>
                </c:pt>
                <c:pt idx="2">
                  <c:v>729</c:v>
                </c:pt>
                <c:pt idx="3">
                  <c:v>4096</c:v>
                </c:pt>
                <c:pt idx="4">
                  <c:v>15625</c:v>
                </c:pt>
                <c:pt idx="5">
                  <c:v>46656</c:v>
                </c:pt>
                <c:pt idx="6">
                  <c:v>117649</c:v>
                </c:pt>
                <c:pt idx="7">
                  <c:v>262144</c:v>
                </c:pt>
                <c:pt idx="8">
                  <c:v>531441</c:v>
                </c:pt>
                <c:pt idx="9">
                  <c:v>1000000</c:v>
                </c:pt>
                <c:pt idx="10">
                  <c:v>1771561</c:v>
                </c:pt>
                <c:pt idx="11">
                  <c:v>2985984</c:v>
                </c:pt>
                <c:pt idx="12">
                  <c:v>4826809</c:v>
                </c:pt>
                <c:pt idx="13">
                  <c:v>7529536</c:v>
                </c:pt>
                <c:pt idx="14">
                  <c:v>11390625</c:v>
                </c:pt>
                <c:pt idx="15">
                  <c:v>16777216</c:v>
                </c:pt>
                <c:pt idx="16">
                  <c:v>24137569</c:v>
                </c:pt>
                <c:pt idx="17">
                  <c:v>34012224</c:v>
                </c:pt>
                <c:pt idx="18">
                  <c:v>47045881</c:v>
                </c:pt>
                <c:pt idx="19">
                  <c:v>64000000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7B-4D15-8E99-23E5CD26B285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Лист!$H$5:$H$24</c:f>
              <c:numCache>
                <c:formatCode>General</c:formatCode>
                <c:ptCount val="20"/>
                <c:pt idx="0">
                  <c:v>1</c:v>
                </c:pt>
                <c:pt idx="1">
                  <c:v>64</c:v>
                </c:pt>
                <c:pt idx="2">
                  <c:v>729</c:v>
                </c:pt>
                <c:pt idx="3">
                  <c:v>4096</c:v>
                </c:pt>
                <c:pt idx="4">
                  <c:v>15625</c:v>
                </c:pt>
                <c:pt idx="5">
                  <c:v>46656</c:v>
                </c:pt>
                <c:pt idx="6">
                  <c:v>117649</c:v>
                </c:pt>
                <c:pt idx="7">
                  <c:v>262144</c:v>
                </c:pt>
                <c:pt idx="8">
                  <c:v>531441</c:v>
                </c:pt>
                <c:pt idx="9">
                  <c:v>1000000</c:v>
                </c:pt>
                <c:pt idx="10">
                  <c:v>1771561</c:v>
                </c:pt>
                <c:pt idx="11">
                  <c:v>2985984</c:v>
                </c:pt>
                <c:pt idx="12">
                  <c:v>4826809</c:v>
                </c:pt>
                <c:pt idx="13">
                  <c:v>7529536</c:v>
                </c:pt>
                <c:pt idx="14">
                  <c:v>11390625</c:v>
                </c:pt>
                <c:pt idx="15">
                  <c:v>16777216</c:v>
                </c:pt>
                <c:pt idx="16">
                  <c:v>24137569</c:v>
                </c:pt>
                <c:pt idx="17">
                  <c:v>34012224</c:v>
                </c:pt>
                <c:pt idx="18">
                  <c:v>47045881</c:v>
                </c:pt>
                <c:pt idx="19">
                  <c:v>64000000</c:v>
                </c:pt>
              </c:numCache>
            </c:numRef>
          </c:xVal>
          <c:yVal>
            <c:numRef>
              <c:f>'7'!$B$31:$B$50</c:f>
              <c:numCache>
                <c:formatCode>General</c:formatCode>
                <c:ptCount val="20"/>
                <c:pt idx="0">
                  <c:v>0.34211383399804202</c:v>
                </c:pt>
                <c:pt idx="1">
                  <c:v>0.19205866444518563</c:v>
                </c:pt>
                <c:pt idx="2">
                  <c:v>-0.63561539421855673</c:v>
                </c:pt>
                <c:pt idx="3">
                  <c:v>-0.72506637134484508</c:v>
                </c:pt>
                <c:pt idx="4">
                  <c:v>0.12093591209149734</c:v>
                </c:pt>
                <c:pt idx="5">
                  <c:v>1.5406215543535242</c:v>
                </c:pt>
                <c:pt idx="6">
                  <c:v>3.0459252438250424</c:v>
                </c:pt>
                <c:pt idx="7">
                  <c:v>4.2670441537472144</c:v>
                </c:pt>
                <c:pt idx="8">
                  <c:v>5.0476093246372997</c:v>
                </c:pt>
                <c:pt idx="9">
                  <c:v>5.4292307982238555</c:v>
                </c:pt>
                <c:pt idx="10">
                  <c:v>5.5641767667261206</c:v>
                </c:pt>
                <c:pt idx="11">
                  <c:v>5.5949470013114819</c:v>
                </c:pt>
                <c:pt idx="12">
                  <c:v>5.5395008235568639</c:v>
                </c:pt>
                <c:pt idx="13">
                  <c:v>5.2208998837490981</c:v>
                </c:pt>
                <c:pt idx="14">
                  <c:v>4.2801260098642615</c:v>
                </c:pt>
                <c:pt idx="15">
                  <c:v>2.3108343910234908</c:v>
                </c:pt>
                <c:pt idx="16">
                  <c:v>-0.84519764069318626</c:v>
                </c:pt>
                <c:pt idx="17">
                  <c:v>-4.6031659662976381</c:v>
                </c:pt>
                <c:pt idx="18">
                  <c:v>-6.9021189099203184</c:v>
                </c:pt>
                <c:pt idx="19">
                  <c:v>-3.1948600790547061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47B-4D15-8E99-23E5CD26B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312239"/>
        <c:axId val="504361199"/>
      </c:scatterChart>
      <c:valAx>
        <c:axId val="6123122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6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361199"/>
        <c:crosses val="autoZero"/>
        <c:crossBetween val="midCat"/>
      </c:valAx>
      <c:valAx>
        <c:axId val="5043611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31223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7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Лист!$I$5:$I$24</c:f>
              <c:numCache>
                <c:formatCode>General</c:formatCode>
                <c:ptCount val="20"/>
                <c:pt idx="0">
                  <c:v>1</c:v>
                </c:pt>
                <c:pt idx="1">
                  <c:v>128</c:v>
                </c:pt>
                <c:pt idx="2">
                  <c:v>2187</c:v>
                </c:pt>
                <c:pt idx="3">
                  <c:v>16384</c:v>
                </c:pt>
                <c:pt idx="4">
                  <c:v>78125</c:v>
                </c:pt>
                <c:pt idx="5">
                  <c:v>279936</c:v>
                </c:pt>
                <c:pt idx="6">
                  <c:v>823543</c:v>
                </c:pt>
                <c:pt idx="7">
                  <c:v>2097152</c:v>
                </c:pt>
                <c:pt idx="8">
                  <c:v>4782969</c:v>
                </c:pt>
                <c:pt idx="9">
                  <c:v>10000000</c:v>
                </c:pt>
                <c:pt idx="10">
                  <c:v>19487171</c:v>
                </c:pt>
                <c:pt idx="11">
                  <c:v>35831808</c:v>
                </c:pt>
                <c:pt idx="12">
                  <c:v>62748517</c:v>
                </c:pt>
                <c:pt idx="13">
                  <c:v>105413504</c:v>
                </c:pt>
                <c:pt idx="14">
                  <c:v>170859375</c:v>
                </c:pt>
                <c:pt idx="15">
                  <c:v>268435456</c:v>
                </c:pt>
                <c:pt idx="16">
                  <c:v>410338673</c:v>
                </c:pt>
                <c:pt idx="17">
                  <c:v>612220032</c:v>
                </c:pt>
                <c:pt idx="18">
                  <c:v>893871739</c:v>
                </c:pt>
                <c:pt idx="19">
                  <c:v>1280000000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4F-45B3-8F6A-023441EF0C02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Лист!$I$5:$I$24</c:f>
              <c:numCache>
                <c:formatCode>General</c:formatCode>
                <c:ptCount val="20"/>
                <c:pt idx="0">
                  <c:v>1</c:v>
                </c:pt>
                <c:pt idx="1">
                  <c:v>128</c:v>
                </c:pt>
                <c:pt idx="2">
                  <c:v>2187</c:v>
                </c:pt>
                <c:pt idx="3">
                  <c:v>16384</c:v>
                </c:pt>
                <c:pt idx="4">
                  <c:v>78125</c:v>
                </c:pt>
                <c:pt idx="5">
                  <c:v>279936</c:v>
                </c:pt>
                <c:pt idx="6">
                  <c:v>823543</c:v>
                </c:pt>
                <c:pt idx="7">
                  <c:v>2097152</c:v>
                </c:pt>
                <c:pt idx="8">
                  <c:v>4782969</c:v>
                </c:pt>
                <c:pt idx="9">
                  <c:v>10000000</c:v>
                </c:pt>
                <c:pt idx="10">
                  <c:v>19487171</c:v>
                </c:pt>
                <c:pt idx="11">
                  <c:v>35831808</c:v>
                </c:pt>
                <c:pt idx="12">
                  <c:v>62748517</c:v>
                </c:pt>
                <c:pt idx="13">
                  <c:v>105413504</c:v>
                </c:pt>
                <c:pt idx="14">
                  <c:v>170859375</c:v>
                </c:pt>
                <c:pt idx="15">
                  <c:v>268435456</c:v>
                </c:pt>
                <c:pt idx="16">
                  <c:v>410338673</c:v>
                </c:pt>
                <c:pt idx="17">
                  <c:v>612220032</c:v>
                </c:pt>
                <c:pt idx="18">
                  <c:v>893871739</c:v>
                </c:pt>
                <c:pt idx="19">
                  <c:v>1280000000</c:v>
                </c:pt>
              </c:numCache>
            </c:numRef>
          </c:xVal>
          <c:yVal>
            <c:numRef>
              <c:f>'7'!$B$31:$B$50</c:f>
              <c:numCache>
                <c:formatCode>General</c:formatCode>
                <c:ptCount val="20"/>
                <c:pt idx="0">
                  <c:v>0.34211383399804202</c:v>
                </c:pt>
                <c:pt idx="1">
                  <c:v>0.19205866444518563</c:v>
                </c:pt>
                <c:pt idx="2">
                  <c:v>-0.63561539421855673</c:v>
                </c:pt>
                <c:pt idx="3">
                  <c:v>-0.72506637134484508</c:v>
                </c:pt>
                <c:pt idx="4">
                  <c:v>0.12093591209149734</c:v>
                </c:pt>
                <c:pt idx="5">
                  <c:v>1.5406215543535242</c:v>
                </c:pt>
                <c:pt idx="6">
                  <c:v>3.0459252438250424</c:v>
                </c:pt>
                <c:pt idx="7">
                  <c:v>4.2670441537472144</c:v>
                </c:pt>
                <c:pt idx="8">
                  <c:v>5.0476093246372997</c:v>
                </c:pt>
                <c:pt idx="9">
                  <c:v>5.4292307982238555</c:v>
                </c:pt>
                <c:pt idx="10">
                  <c:v>5.5641767667261206</c:v>
                </c:pt>
                <c:pt idx="11">
                  <c:v>5.5949470013114819</c:v>
                </c:pt>
                <c:pt idx="12">
                  <c:v>5.5395008235568639</c:v>
                </c:pt>
                <c:pt idx="13">
                  <c:v>5.2208998837490981</c:v>
                </c:pt>
                <c:pt idx="14">
                  <c:v>4.2801260098642615</c:v>
                </c:pt>
                <c:pt idx="15">
                  <c:v>2.3108343910234908</c:v>
                </c:pt>
                <c:pt idx="16">
                  <c:v>-0.84519764069318626</c:v>
                </c:pt>
                <c:pt idx="17">
                  <c:v>-4.6031659662976381</c:v>
                </c:pt>
                <c:pt idx="18">
                  <c:v>-6.9021189099203184</c:v>
                </c:pt>
                <c:pt idx="19">
                  <c:v>-3.1948600790547061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04F-45B3-8F6A-023441EF0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312239"/>
        <c:axId val="504381999"/>
      </c:scatterChart>
      <c:valAx>
        <c:axId val="6123122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7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381999"/>
        <c:crosses val="autoZero"/>
        <c:crossBetween val="midCat"/>
      </c:valAx>
      <c:valAx>
        <c:axId val="5043819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31223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>
                <a:effectLst/>
              </a:rPr>
              <a:t>Поле корреляции величин </a:t>
            </a:r>
            <a:r>
              <a:rPr lang="en-US" sz="1400" b="1" i="0" u="none" strike="noStrike" baseline="0">
                <a:effectLst/>
              </a:rPr>
              <a:t>X </a:t>
            </a:r>
            <a:r>
              <a:rPr lang="ru-RU" sz="1400" b="1" i="0" u="none" strike="noStrike" baseline="0">
                <a:effectLst/>
              </a:rPr>
              <a:t>и </a:t>
            </a:r>
            <a:r>
              <a:rPr lang="en-US" sz="1400" b="1" i="0" u="none" strike="noStrike" baseline="0">
                <a:effectLst/>
              </a:rPr>
              <a:t>Y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Лист!$A$5:$A$24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95-4508-A2E8-D564F59E9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1657487"/>
        <c:axId val="296782031"/>
      </c:scatterChart>
      <c:valAx>
        <c:axId val="2081657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6782031"/>
        <c:crosses val="autoZero"/>
        <c:crossBetween val="midCat"/>
      </c:valAx>
      <c:valAx>
        <c:axId val="29678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1657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>
                <a:solidFill>
                  <a:sysClr val="windowText" lastClr="000000"/>
                </a:solidFill>
              </a:rPr>
              <a:t>Доверительный интервал для </a:t>
            </a:r>
            <a:r>
              <a:rPr lang="en-US" sz="1400" b="1" i="0" u="none" strike="noStrike" baseline="0">
                <a:solidFill>
                  <a:sysClr val="windowText" lastClr="000000"/>
                </a:solidFill>
              </a:rPr>
              <a:t>M(Y!X)</a:t>
            </a:r>
            <a:endParaRPr lang="ru-RU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v>Пред. Y</c:v>
          </c:tx>
          <c:spPr>
            <a:effectLst/>
          </c:spPr>
          <c:marker>
            <c:symbol val="none"/>
          </c:marker>
          <c:val>
            <c:numRef>
              <c:f>'7'!$B$31:$B$50</c:f>
              <c:numCache>
                <c:formatCode>General</c:formatCode>
                <c:ptCount val="20"/>
                <c:pt idx="0">
                  <c:v>0.34211383399804202</c:v>
                </c:pt>
                <c:pt idx="1">
                  <c:v>0.19205866444518563</c:v>
                </c:pt>
                <c:pt idx="2">
                  <c:v>-0.63561539421855673</c:v>
                </c:pt>
                <c:pt idx="3">
                  <c:v>-0.72506637134484508</c:v>
                </c:pt>
                <c:pt idx="4">
                  <c:v>0.12093591209149734</c:v>
                </c:pt>
                <c:pt idx="5">
                  <c:v>1.5406215543535242</c:v>
                </c:pt>
                <c:pt idx="6">
                  <c:v>3.0459252438250424</c:v>
                </c:pt>
                <c:pt idx="7">
                  <c:v>4.2670441537472144</c:v>
                </c:pt>
                <c:pt idx="8">
                  <c:v>5.0476093246372997</c:v>
                </c:pt>
                <c:pt idx="9">
                  <c:v>5.4292307982238555</c:v>
                </c:pt>
                <c:pt idx="10">
                  <c:v>5.5641767667261206</c:v>
                </c:pt>
                <c:pt idx="11">
                  <c:v>5.5949470013114819</c:v>
                </c:pt>
                <c:pt idx="12">
                  <c:v>5.5395008235568639</c:v>
                </c:pt>
                <c:pt idx="13">
                  <c:v>5.2208998837490981</c:v>
                </c:pt>
                <c:pt idx="14">
                  <c:v>4.2801260098642615</c:v>
                </c:pt>
                <c:pt idx="15">
                  <c:v>2.3108343910234908</c:v>
                </c:pt>
                <c:pt idx="16">
                  <c:v>-0.84519764069318626</c:v>
                </c:pt>
                <c:pt idx="17">
                  <c:v>-4.6031659662976381</c:v>
                </c:pt>
                <c:pt idx="18">
                  <c:v>-6.9021189099203184</c:v>
                </c:pt>
                <c:pt idx="19">
                  <c:v>-3.1948600790547061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A28-43BA-A9D7-EB852C8905AF}"/>
            </c:ext>
          </c:extLst>
        </c:ser>
        <c:ser>
          <c:idx val="6"/>
          <c:order val="1"/>
          <c:tx>
            <c:v>НГ</c:v>
          </c:tx>
          <c:spPr>
            <a:effectLst/>
          </c:spPr>
          <c:marker>
            <c:symbol val="none"/>
          </c:marker>
          <c:val>
            <c:numRef>
              <c:f>Лист!$A$33:$A$52</c:f>
              <c:numCache>
                <c:formatCode>0.00</c:formatCode>
                <c:ptCount val="20"/>
                <c:pt idx="0">
                  <c:v>-5.7886166001958006E-2</c:v>
                </c:pt>
                <c:pt idx="1">
                  <c:v>-0.20794133555481439</c:v>
                </c:pt>
                <c:pt idx="2">
                  <c:v>-1.0356153942185569</c:v>
                </c:pt>
                <c:pt idx="3">
                  <c:v>-1.125066371344845</c:v>
                </c:pt>
                <c:pt idx="4">
                  <c:v>-0.27906408790850268</c:v>
                </c:pt>
                <c:pt idx="5">
                  <c:v>1.1406215543535243</c:v>
                </c:pt>
                <c:pt idx="6">
                  <c:v>2.6459252438250425</c:v>
                </c:pt>
                <c:pt idx="7">
                  <c:v>3.8670441537472144</c:v>
                </c:pt>
                <c:pt idx="8">
                  <c:v>4.6476093246372994</c:v>
                </c:pt>
                <c:pt idx="9">
                  <c:v>5.0292307982238551</c:v>
                </c:pt>
                <c:pt idx="10">
                  <c:v>5.1641767667261202</c:v>
                </c:pt>
                <c:pt idx="11">
                  <c:v>5.1949470013114816</c:v>
                </c:pt>
                <c:pt idx="12">
                  <c:v>5.1395008235568636</c:v>
                </c:pt>
                <c:pt idx="13">
                  <c:v>4.8208998837490977</c:v>
                </c:pt>
                <c:pt idx="14">
                  <c:v>3.8801260098642616</c:v>
                </c:pt>
                <c:pt idx="15">
                  <c:v>1.9108343910234908</c:v>
                </c:pt>
                <c:pt idx="16">
                  <c:v>-1.2451976406931862</c:v>
                </c:pt>
                <c:pt idx="17">
                  <c:v>-5.0031659662976384</c:v>
                </c:pt>
                <c:pt idx="18">
                  <c:v>-7.3021189099203188</c:v>
                </c:pt>
                <c:pt idx="19">
                  <c:v>-3.5948600790547061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A28-43BA-A9D7-EB852C8905AF}"/>
            </c:ext>
          </c:extLst>
        </c:ser>
        <c:ser>
          <c:idx val="7"/>
          <c:order val="2"/>
          <c:tx>
            <c:v>ВГ</c:v>
          </c:tx>
          <c:spPr>
            <a:effectLst/>
          </c:spPr>
          <c:marker>
            <c:symbol val="none"/>
          </c:marker>
          <c:val>
            <c:numRef>
              <c:f>Лист!$D$33:$D$52</c:f>
              <c:numCache>
                <c:formatCode>0.00</c:formatCode>
                <c:ptCount val="20"/>
                <c:pt idx="0">
                  <c:v>0.64211383399804201</c:v>
                </c:pt>
                <c:pt idx="1">
                  <c:v>0.49205866444518565</c:v>
                </c:pt>
                <c:pt idx="2">
                  <c:v>-0.33561539421855674</c:v>
                </c:pt>
                <c:pt idx="3">
                  <c:v>-0.4250663713448451</c:v>
                </c:pt>
                <c:pt idx="4">
                  <c:v>0.42093591209149733</c:v>
                </c:pt>
                <c:pt idx="5">
                  <c:v>1.8406215543535243</c:v>
                </c:pt>
                <c:pt idx="6">
                  <c:v>3.3459252438250422</c:v>
                </c:pt>
                <c:pt idx="7">
                  <c:v>4.5670441537472142</c:v>
                </c:pt>
                <c:pt idx="8">
                  <c:v>5.3476093246372995</c:v>
                </c:pt>
                <c:pt idx="9">
                  <c:v>5.7292307982238553</c:v>
                </c:pt>
                <c:pt idx="10">
                  <c:v>5.8641767667261204</c:v>
                </c:pt>
                <c:pt idx="11">
                  <c:v>5.8949470013114817</c:v>
                </c:pt>
                <c:pt idx="12">
                  <c:v>5.8395008235568637</c:v>
                </c:pt>
                <c:pt idx="13">
                  <c:v>5.5208998837490979</c:v>
                </c:pt>
                <c:pt idx="14">
                  <c:v>4.5801260098642613</c:v>
                </c:pt>
                <c:pt idx="15">
                  <c:v>2.6108343910234906</c:v>
                </c:pt>
                <c:pt idx="16">
                  <c:v>-0.54519764069318621</c:v>
                </c:pt>
                <c:pt idx="17">
                  <c:v>-4.3031659662976383</c:v>
                </c:pt>
                <c:pt idx="18">
                  <c:v>-6.6021189099203186</c:v>
                </c:pt>
                <c:pt idx="19">
                  <c:v>-2.8948600790547063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A28-43BA-A9D7-EB852C8905AF}"/>
            </c:ext>
          </c:extLst>
        </c:ser>
        <c:ser>
          <c:idx val="0"/>
          <c:order val="3"/>
          <c:tx>
            <c:v>Y</c:v>
          </c:tx>
          <c:spPr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A28-43BA-A9D7-EB852C890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9628847"/>
        <c:axId val="500367583"/>
      </c:lineChart>
      <c:catAx>
        <c:axId val="619628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0367583"/>
        <c:crosses val="autoZero"/>
        <c:auto val="1"/>
        <c:lblAlgn val="ctr"/>
        <c:lblOffset val="100"/>
        <c:noMultiLvlLbl val="1"/>
      </c:catAx>
      <c:valAx>
        <c:axId val="50036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9628847"/>
        <c:crosses val="autoZero"/>
        <c:crossBetween val="between"/>
      </c:valAx>
    </c:plotArea>
    <c:plotVisOnly val="1"/>
    <c:dispBlanksAs val="gap"/>
    <c:showDLblsOverMax val="0"/>
    <c:extLst/>
  </c:chart>
  <c:spPr>
    <a:ln>
      <a:solidFill>
        <a:schemeClr val="tx1"/>
      </a:solidFill>
    </a:ln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>
                <a:solidFill>
                  <a:sysClr val="windowText" lastClr="000000"/>
                </a:solidFill>
              </a:rPr>
              <a:t>Доверительный интервал для </a:t>
            </a:r>
            <a:r>
              <a:rPr lang="en-US" sz="1400" b="1" i="0" u="none" strike="noStrike" baseline="0">
                <a:solidFill>
                  <a:sysClr val="windowText" lastClr="000000"/>
                </a:solidFill>
              </a:rPr>
              <a:t>Y</a:t>
            </a:r>
            <a:endParaRPr lang="ru-RU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Лист!$B$5:$B$24</c:f>
              <c:numCache>
                <c:formatCode>General</c:formatCode>
                <c:ptCount val="20"/>
                <c:pt idx="0">
                  <c:v>0.53</c:v>
                </c:pt>
                <c:pt idx="1">
                  <c:v>-0.64</c:v>
                </c:pt>
                <c:pt idx="2">
                  <c:v>0.21</c:v>
                </c:pt>
                <c:pt idx="3">
                  <c:v>0.38</c:v>
                </c:pt>
                <c:pt idx="4">
                  <c:v>-1.85</c:v>
                </c:pt>
                <c:pt idx="5">
                  <c:v>0.69</c:v>
                </c:pt>
                <c:pt idx="6">
                  <c:v>5.1100000000000003</c:v>
                </c:pt>
                <c:pt idx="7">
                  <c:v>4.12</c:v>
                </c:pt>
                <c:pt idx="8">
                  <c:v>6.09</c:v>
                </c:pt>
                <c:pt idx="9">
                  <c:v>4.01</c:v>
                </c:pt>
                <c:pt idx="10">
                  <c:v>2.85</c:v>
                </c:pt>
                <c:pt idx="11">
                  <c:v>8.6999999999999993</c:v>
                </c:pt>
                <c:pt idx="12">
                  <c:v>6.28</c:v>
                </c:pt>
                <c:pt idx="13">
                  <c:v>4.3099999999999996</c:v>
                </c:pt>
                <c:pt idx="14">
                  <c:v>4.76</c:v>
                </c:pt>
                <c:pt idx="15">
                  <c:v>-0.82</c:v>
                </c:pt>
                <c:pt idx="16">
                  <c:v>3.07</c:v>
                </c:pt>
                <c:pt idx="17">
                  <c:v>-6.32</c:v>
                </c:pt>
                <c:pt idx="18">
                  <c:v>-6.74</c:v>
                </c:pt>
                <c:pt idx="19">
                  <c:v>-3.15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C5-4ED6-B571-5B3805D28DD0}"/>
            </c:ext>
          </c:extLst>
        </c:ser>
        <c:ser>
          <c:idx val="1"/>
          <c:order val="1"/>
          <c:tx>
            <c:v>НГ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Лист!$F$33:$F$52</c:f>
              <c:numCache>
                <c:formatCode>0.00</c:formatCode>
                <c:ptCount val="20"/>
                <c:pt idx="0">
                  <c:v>1.3421138339980421</c:v>
                </c:pt>
                <c:pt idx="1">
                  <c:v>1.1920586644451856</c:v>
                </c:pt>
                <c:pt idx="2">
                  <c:v>0.36438460578144327</c:v>
                </c:pt>
                <c:pt idx="3">
                  <c:v>0.27493362865515492</c:v>
                </c:pt>
                <c:pt idx="4">
                  <c:v>1.1209359120914972</c:v>
                </c:pt>
                <c:pt idx="5">
                  <c:v>2.5406215543535242</c:v>
                </c:pt>
                <c:pt idx="6">
                  <c:v>4.0459252438250424</c:v>
                </c:pt>
                <c:pt idx="7">
                  <c:v>5.2670441537472144</c:v>
                </c:pt>
                <c:pt idx="8">
                  <c:v>6.0476093246372997</c:v>
                </c:pt>
                <c:pt idx="9">
                  <c:v>6.4292307982238555</c:v>
                </c:pt>
                <c:pt idx="10">
                  <c:v>6.5641767667261206</c:v>
                </c:pt>
                <c:pt idx="11">
                  <c:v>6.5949470013114819</c:v>
                </c:pt>
                <c:pt idx="12">
                  <c:v>6.5395008235568639</c:v>
                </c:pt>
                <c:pt idx="13">
                  <c:v>6.2208998837490981</c:v>
                </c:pt>
                <c:pt idx="14">
                  <c:v>5.2801260098642615</c:v>
                </c:pt>
                <c:pt idx="15">
                  <c:v>3.3108343910234908</c:v>
                </c:pt>
                <c:pt idx="16">
                  <c:v>0.15480235930681374</c:v>
                </c:pt>
                <c:pt idx="17">
                  <c:v>-3.6031659662976381</c:v>
                </c:pt>
                <c:pt idx="18">
                  <c:v>-5.9021189099203184</c:v>
                </c:pt>
                <c:pt idx="19">
                  <c:v>-2.1948600790547061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C5-4ED6-B571-5B3805D28DD0}"/>
            </c:ext>
          </c:extLst>
        </c:ser>
        <c:ser>
          <c:idx val="2"/>
          <c:order val="2"/>
          <c:tx>
            <c:v>ВГ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Лист!$I$33:$I$52</c:f>
              <c:numCache>
                <c:formatCode>0.00</c:formatCode>
                <c:ptCount val="20"/>
                <c:pt idx="0">
                  <c:v>3.3421138339980421</c:v>
                </c:pt>
                <c:pt idx="1">
                  <c:v>3.1920586644451858</c:v>
                </c:pt>
                <c:pt idx="2">
                  <c:v>2.364384605781443</c:v>
                </c:pt>
                <c:pt idx="3">
                  <c:v>2.2749336286551549</c:v>
                </c:pt>
                <c:pt idx="4">
                  <c:v>3.1209359120914972</c:v>
                </c:pt>
                <c:pt idx="5">
                  <c:v>4.5406215543535247</c:v>
                </c:pt>
                <c:pt idx="6">
                  <c:v>6.0459252438250424</c:v>
                </c:pt>
                <c:pt idx="7">
                  <c:v>7.2670441537472144</c:v>
                </c:pt>
                <c:pt idx="8">
                  <c:v>8.0476093246372997</c:v>
                </c:pt>
                <c:pt idx="9">
                  <c:v>8.4292307982238555</c:v>
                </c:pt>
                <c:pt idx="10">
                  <c:v>8.5641767667261206</c:v>
                </c:pt>
                <c:pt idx="11">
                  <c:v>8.5949470013114819</c:v>
                </c:pt>
                <c:pt idx="12">
                  <c:v>8.5395008235568639</c:v>
                </c:pt>
                <c:pt idx="13">
                  <c:v>8.2208998837490981</c:v>
                </c:pt>
                <c:pt idx="14">
                  <c:v>7.2801260098642615</c:v>
                </c:pt>
                <c:pt idx="15">
                  <c:v>5.3108343910234908</c:v>
                </c:pt>
                <c:pt idx="16">
                  <c:v>2.1548023593068137</c:v>
                </c:pt>
                <c:pt idx="17">
                  <c:v>-1.6031659662976381</c:v>
                </c:pt>
                <c:pt idx="18">
                  <c:v>-3.9021189099203184</c:v>
                </c:pt>
                <c:pt idx="19">
                  <c:v>-0.19486007905470615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C5-4ED6-B571-5B3805D28DD0}"/>
            </c:ext>
          </c:extLst>
        </c:ser>
        <c:ser>
          <c:idx val="3"/>
          <c:order val="3"/>
          <c:tx>
            <c:v>Пред. 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'7'!$B$31:$B$50</c:f>
              <c:numCache>
                <c:formatCode>General</c:formatCode>
                <c:ptCount val="20"/>
                <c:pt idx="0">
                  <c:v>0.34211383399804202</c:v>
                </c:pt>
                <c:pt idx="1">
                  <c:v>0.19205866444518563</c:v>
                </c:pt>
                <c:pt idx="2">
                  <c:v>-0.63561539421855673</c:v>
                </c:pt>
                <c:pt idx="3">
                  <c:v>-0.72506637134484508</c:v>
                </c:pt>
                <c:pt idx="4">
                  <c:v>0.12093591209149734</c:v>
                </c:pt>
                <c:pt idx="5">
                  <c:v>1.5406215543535242</c:v>
                </c:pt>
                <c:pt idx="6">
                  <c:v>3.0459252438250424</c:v>
                </c:pt>
                <c:pt idx="7">
                  <c:v>4.2670441537472144</c:v>
                </c:pt>
                <c:pt idx="8">
                  <c:v>5.0476093246372997</c:v>
                </c:pt>
                <c:pt idx="9">
                  <c:v>5.4292307982238555</c:v>
                </c:pt>
                <c:pt idx="10">
                  <c:v>5.5641767667261206</c:v>
                </c:pt>
                <c:pt idx="11">
                  <c:v>5.5949470013114819</c:v>
                </c:pt>
                <c:pt idx="12">
                  <c:v>5.5395008235568639</c:v>
                </c:pt>
                <c:pt idx="13">
                  <c:v>5.2208998837490981</c:v>
                </c:pt>
                <c:pt idx="14">
                  <c:v>4.2801260098642615</c:v>
                </c:pt>
                <c:pt idx="15">
                  <c:v>2.3108343910234908</c:v>
                </c:pt>
                <c:pt idx="16">
                  <c:v>-0.84519764069318626</c:v>
                </c:pt>
                <c:pt idx="17">
                  <c:v>-4.6031659662976381</c:v>
                </c:pt>
                <c:pt idx="18">
                  <c:v>-6.9021189099203184</c:v>
                </c:pt>
                <c:pt idx="19">
                  <c:v>-3.1948600790547061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C5-4ED6-B571-5B3805D28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6320559"/>
        <c:axId val="505902015"/>
      </c:lineChart>
      <c:catAx>
        <c:axId val="62632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5902015"/>
        <c:crosses val="autoZero"/>
        <c:auto val="1"/>
        <c:lblAlgn val="ctr"/>
        <c:lblOffset val="100"/>
        <c:noMultiLvlLbl val="1"/>
      </c:catAx>
      <c:valAx>
        <c:axId val="50590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6320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ysClr val="windowText" lastClr="000000"/>
                </a:solidFill>
              </a:rPr>
              <a:t>Остатки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Лист!$B$73:$B$92</c:f>
              <c:numCache>
                <c:formatCode>General</c:formatCode>
                <c:ptCount val="20"/>
                <c:pt idx="0">
                  <c:v>0.18788616600195801</c:v>
                </c:pt>
                <c:pt idx="1">
                  <c:v>-0.83205866444518561</c:v>
                </c:pt>
                <c:pt idx="2">
                  <c:v>0.84561539421855669</c:v>
                </c:pt>
                <c:pt idx="3">
                  <c:v>1.105066371344845</c:v>
                </c:pt>
                <c:pt idx="4">
                  <c:v>-1.9709359120914973</c:v>
                </c:pt>
                <c:pt idx="5">
                  <c:v>-0.85062155435352427</c:v>
                </c:pt>
                <c:pt idx="6">
                  <c:v>2.0640747561749579</c:v>
                </c:pt>
                <c:pt idx="7">
                  <c:v>-0.14704415374721425</c:v>
                </c:pt>
                <c:pt idx="8">
                  <c:v>1.0423906753627001</c:v>
                </c:pt>
                <c:pt idx="9">
                  <c:v>-1.4192307982238557</c:v>
                </c:pt>
                <c:pt idx="10">
                  <c:v>-2.7141767667261205</c:v>
                </c:pt>
                <c:pt idx="11">
                  <c:v>3.1050529986885174</c:v>
                </c:pt>
                <c:pt idx="12">
                  <c:v>0.74049917644313634</c:v>
                </c:pt>
                <c:pt idx="13">
                  <c:v>-0.91089988374909847</c:v>
                </c:pt>
                <c:pt idx="14">
                  <c:v>0.47987399013573828</c:v>
                </c:pt>
                <c:pt idx="15">
                  <c:v>-3.1308343910234906</c:v>
                </c:pt>
                <c:pt idx="16">
                  <c:v>3.9151976406931861</c:v>
                </c:pt>
                <c:pt idx="17">
                  <c:v>-1.7168340337023622</c:v>
                </c:pt>
                <c:pt idx="18">
                  <c:v>0.16211890992031819</c:v>
                </c:pt>
                <c:pt idx="19">
                  <c:v>4.4860079054706237E-2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91-45F1-ACF1-B27430700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924272"/>
        <c:axId val="714375728"/>
      </c:scatterChart>
      <c:valAx>
        <c:axId val="27292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4375728"/>
        <c:crosses val="autoZero"/>
        <c:crossBetween val="midCat"/>
      </c:valAx>
      <c:valAx>
        <c:axId val="71437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2924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 плотности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Лист!$A$106:$A$111</c:f>
              <c:numCache>
                <c:formatCode>General</c:formatCode>
                <c:ptCount val="6"/>
                <c:pt idx="0">
                  <c:v>-3.1308343910234906</c:v>
                </c:pt>
                <c:pt idx="1">
                  <c:v>-1.7216279846801552</c:v>
                </c:pt>
                <c:pt idx="2">
                  <c:v>-0.31242157833681983</c:v>
                </c:pt>
                <c:pt idx="3">
                  <c:v>1.0967848280065156</c:v>
                </c:pt>
                <c:pt idx="4">
                  <c:v>2.5059912343498509</c:v>
                </c:pt>
                <c:pt idx="5">
                  <c:v>3.9151976406931865</c:v>
                </c:pt>
              </c:numCache>
            </c:numRef>
          </c:cat>
          <c:val>
            <c:numRef>
              <c:f>Лист!$C$106:$C$111</c:f>
              <c:numCache>
                <c:formatCode>General</c:formatCode>
                <c:ptCount val="6"/>
                <c:pt idx="0">
                  <c:v>3.5480962742528245E-2</c:v>
                </c:pt>
                <c:pt idx="1">
                  <c:v>7.096192548505649E-2</c:v>
                </c:pt>
                <c:pt idx="2">
                  <c:v>0.17740481371264122</c:v>
                </c:pt>
                <c:pt idx="3">
                  <c:v>0.28384770194022596</c:v>
                </c:pt>
                <c:pt idx="4">
                  <c:v>7.096192548505649E-2</c:v>
                </c:pt>
                <c:pt idx="5">
                  <c:v>7.096192548505649E-2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69-43DB-AC26-1A855C14A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4174112"/>
        <c:axId val="336971504"/>
      </c:barChart>
      <c:catAx>
        <c:axId val="61417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6971504"/>
        <c:crosses val="autoZero"/>
        <c:auto val="1"/>
        <c:lblAlgn val="ctr"/>
        <c:lblOffset val="100"/>
        <c:noMultiLvlLbl val="0"/>
      </c:catAx>
      <c:valAx>
        <c:axId val="33697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417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5" Type="http://schemas.openxmlformats.org/officeDocument/2006/relationships/chart" Target="../charts/chart24.xml"/><Relationship Id="rId4" Type="http://schemas.openxmlformats.org/officeDocument/2006/relationships/chart" Target="../charts/chart23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3.xml"/><Relationship Id="rId3" Type="http://schemas.openxmlformats.org/officeDocument/2006/relationships/chart" Target="../charts/chart28.xml"/><Relationship Id="rId7" Type="http://schemas.openxmlformats.org/officeDocument/2006/relationships/chart" Target="../charts/chart32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6" Type="http://schemas.openxmlformats.org/officeDocument/2006/relationships/chart" Target="../charts/chart31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36.xml"/><Relationship Id="rId7" Type="http://schemas.openxmlformats.org/officeDocument/2006/relationships/chart" Target="../charts/chart40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6" Type="http://schemas.openxmlformats.org/officeDocument/2006/relationships/chart" Target="../charts/chart39.xml"/><Relationship Id="rId5" Type="http://schemas.openxmlformats.org/officeDocument/2006/relationships/chart" Target="../charts/chart38.xml"/><Relationship Id="rId10" Type="http://schemas.openxmlformats.org/officeDocument/2006/relationships/image" Target="../media/image5.png"/><Relationship Id="rId4" Type="http://schemas.openxmlformats.org/officeDocument/2006/relationships/chart" Target="../charts/chart37.xml"/><Relationship Id="rId9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876300</xdr:colOff>
      <xdr:row>21</xdr:row>
      <xdr:rowOff>0</xdr:rowOff>
    </xdr:from>
    <xdr:to>
      <xdr:col>9</xdr:col>
      <xdr:colOff>66675</xdr:colOff>
      <xdr:row>36</xdr:row>
      <xdr:rowOff>19050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7F8614C-8123-4A21-8E48-2136FBB0D4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942974</xdr:colOff>
      <xdr:row>36</xdr:row>
      <xdr:rowOff>180975</xdr:rowOff>
    </xdr:from>
    <xdr:to>
      <xdr:col>9</xdr:col>
      <xdr:colOff>104774</xdr:colOff>
      <xdr:row>50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B97EF42-EF4F-4AE6-B6FD-7EC51F40EC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</xdr:colOff>
      <xdr:row>21</xdr:row>
      <xdr:rowOff>9525</xdr:rowOff>
    </xdr:from>
    <xdr:to>
      <xdr:col>18</xdr:col>
      <xdr:colOff>447675</xdr:colOff>
      <xdr:row>36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F3AC7EB-262D-4F23-A4CF-E6E81AF5DA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257174</xdr:colOff>
      <xdr:row>20</xdr:row>
      <xdr:rowOff>142875</xdr:rowOff>
    </xdr:from>
    <xdr:to>
      <xdr:col>10</xdr:col>
      <xdr:colOff>533400</xdr:colOff>
      <xdr:row>36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FD2FBAF-05E6-4C46-8F40-026C1C1B2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247649</xdr:colOff>
      <xdr:row>38</xdr:row>
      <xdr:rowOff>19050</xdr:rowOff>
    </xdr:from>
    <xdr:to>
      <xdr:col>10</xdr:col>
      <xdr:colOff>552449</xdr:colOff>
      <xdr:row>55</xdr:row>
      <xdr:rowOff>104775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09D0A1B-57BE-40FB-A4ED-7C4351D7E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512885</xdr:colOff>
      <xdr:row>0</xdr:row>
      <xdr:rowOff>58616</xdr:rowOff>
    </xdr:from>
    <xdr:to>
      <xdr:col>3</xdr:col>
      <xdr:colOff>664791</xdr:colOff>
      <xdr:row>2</xdr:row>
      <xdr:rowOff>3711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6DA0256-5FB5-42B7-B3DB-77CAA0F2F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49770" y="58616"/>
          <a:ext cx="1705213" cy="33342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619124</xdr:colOff>
      <xdr:row>21</xdr:row>
      <xdr:rowOff>180975</xdr:rowOff>
    </xdr:from>
    <xdr:to>
      <xdr:col>10</xdr:col>
      <xdr:colOff>295274</xdr:colOff>
      <xdr:row>38</xdr:row>
      <xdr:rowOff>104775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3C76204-BB9D-4C8B-A404-B628A99BA4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619124</xdr:colOff>
      <xdr:row>39</xdr:row>
      <xdr:rowOff>152400</xdr:rowOff>
    </xdr:from>
    <xdr:to>
      <xdr:col>10</xdr:col>
      <xdr:colOff>295274</xdr:colOff>
      <xdr:row>56</xdr:row>
      <xdr:rowOff>85725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B1F347B-11CC-4778-A5D8-305E5E8575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171450</xdr:colOff>
      <xdr:row>22</xdr:row>
      <xdr:rowOff>9525</xdr:rowOff>
    </xdr:from>
    <xdr:to>
      <xdr:col>20</xdr:col>
      <xdr:colOff>27214</xdr:colOff>
      <xdr:row>38</xdr:row>
      <xdr:rowOff>108857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201C665-7821-4D23-8D88-1D9EFADE82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457200</xdr:colOff>
      <xdr:row>1</xdr:row>
      <xdr:rowOff>9525</xdr:rowOff>
    </xdr:from>
    <xdr:to>
      <xdr:col>3</xdr:col>
      <xdr:colOff>1028997</xdr:colOff>
      <xdr:row>3</xdr:row>
      <xdr:rowOff>53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162DDD5-C78A-4923-B655-C5078CCBB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52800" y="200025"/>
          <a:ext cx="2124371" cy="38105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914400</xdr:colOff>
      <xdr:row>20</xdr:row>
      <xdr:rowOff>104775</xdr:rowOff>
    </xdr:from>
    <xdr:to>
      <xdr:col>10</xdr:col>
      <xdr:colOff>47625</xdr:colOff>
      <xdr:row>36</xdr:row>
      <xdr:rowOff>123825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CB3B573-24BC-4519-A752-93B4E8DE2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914400</xdr:colOff>
      <xdr:row>37</xdr:row>
      <xdr:rowOff>133349</xdr:rowOff>
    </xdr:from>
    <xdr:to>
      <xdr:col>10</xdr:col>
      <xdr:colOff>47625</xdr:colOff>
      <xdr:row>53</xdr:row>
      <xdr:rowOff>114299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70439B9-67AE-46A5-95E6-B42D342AAA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B6D1B14-C7E3-46A0-9B19-5A489151B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238125</xdr:colOff>
      <xdr:row>2</xdr:row>
      <xdr:rowOff>180975</xdr:rowOff>
    </xdr:from>
    <xdr:to>
      <xdr:col>16</xdr:col>
      <xdr:colOff>238125</xdr:colOff>
      <xdr:row>12</xdr:row>
      <xdr:rowOff>180975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3E57360-F1B3-454C-8095-A054EE338F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238125</xdr:colOff>
      <xdr:row>4</xdr:row>
      <xdr:rowOff>180975</xdr:rowOff>
    </xdr:from>
    <xdr:to>
      <xdr:col>17</xdr:col>
      <xdr:colOff>238125</xdr:colOff>
      <xdr:row>14</xdr:row>
      <xdr:rowOff>180975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3507846F-3A78-48B1-9D53-D1006C4937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238125</xdr:colOff>
      <xdr:row>6</xdr:row>
      <xdr:rowOff>180975</xdr:rowOff>
    </xdr:from>
    <xdr:to>
      <xdr:col>18</xdr:col>
      <xdr:colOff>238125</xdr:colOff>
      <xdr:row>16</xdr:row>
      <xdr:rowOff>180975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13828BC-14C4-4CED-8290-1202E86CEF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24</xdr:row>
      <xdr:rowOff>171450</xdr:rowOff>
    </xdr:from>
    <xdr:to>
      <xdr:col>8</xdr:col>
      <xdr:colOff>85725</xdr:colOff>
      <xdr:row>35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5020408-EFBE-4A44-971B-1ADCFAA5C4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695325</xdr:colOff>
      <xdr:row>25</xdr:row>
      <xdr:rowOff>0</xdr:rowOff>
    </xdr:from>
    <xdr:to>
      <xdr:col>14</xdr:col>
      <xdr:colOff>314325</xdr:colOff>
      <xdr:row>35</xdr:row>
      <xdr:rowOff>9525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A9193CB-976B-472D-956A-DA5A655130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28575</xdr:colOff>
      <xdr:row>35</xdr:row>
      <xdr:rowOff>142875</xdr:rowOff>
    </xdr:from>
    <xdr:to>
      <xdr:col>8</xdr:col>
      <xdr:colOff>47625</xdr:colOff>
      <xdr:row>45</xdr:row>
      <xdr:rowOff>171450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8765792-EF7A-47E2-AD50-D54DFB61D1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704850</xdr:colOff>
      <xdr:row>35</xdr:row>
      <xdr:rowOff>171450</xdr:rowOff>
    </xdr:from>
    <xdr:to>
      <xdr:col>14</xdr:col>
      <xdr:colOff>323850</xdr:colOff>
      <xdr:row>46</xdr:row>
      <xdr:rowOff>19050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F66C7CD-C214-4216-BC22-125018DAB5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1028700</xdr:colOff>
      <xdr:row>46</xdr:row>
      <xdr:rowOff>133350</xdr:rowOff>
    </xdr:from>
    <xdr:to>
      <xdr:col>8</xdr:col>
      <xdr:colOff>9525</xdr:colOff>
      <xdr:row>56</xdr:row>
      <xdr:rowOff>152400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DAEB63C9-3E16-4886-8C21-34DB1A445A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4702E8A-B9C6-4F08-AEDB-0065BE050C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238125</xdr:colOff>
      <xdr:row>2</xdr:row>
      <xdr:rowOff>180975</xdr:rowOff>
    </xdr:from>
    <xdr:to>
      <xdr:col>16</xdr:col>
      <xdr:colOff>238125</xdr:colOff>
      <xdr:row>12</xdr:row>
      <xdr:rowOff>180975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C236804-7710-47F5-9DDE-BFAA6F205A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238125</xdr:colOff>
      <xdr:row>4</xdr:row>
      <xdr:rowOff>180975</xdr:rowOff>
    </xdr:from>
    <xdr:to>
      <xdr:col>17</xdr:col>
      <xdr:colOff>238125</xdr:colOff>
      <xdr:row>14</xdr:row>
      <xdr:rowOff>180975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4709A92-A6FA-4C0A-BF76-025C6DEA6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238125</xdr:colOff>
      <xdr:row>6</xdr:row>
      <xdr:rowOff>180975</xdr:rowOff>
    </xdr:from>
    <xdr:to>
      <xdr:col>18</xdr:col>
      <xdr:colOff>238125</xdr:colOff>
      <xdr:row>16</xdr:row>
      <xdr:rowOff>180975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9E60B0B7-E20E-4903-9AEA-B277EF3601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238125</xdr:colOff>
      <xdr:row>8</xdr:row>
      <xdr:rowOff>180975</xdr:rowOff>
    </xdr:from>
    <xdr:to>
      <xdr:col>19</xdr:col>
      <xdr:colOff>238125</xdr:colOff>
      <xdr:row>18</xdr:row>
      <xdr:rowOff>180975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F2383784-416C-4875-9EA4-8E66B126C6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238125</xdr:colOff>
      <xdr:row>10</xdr:row>
      <xdr:rowOff>180975</xdr:rowOff>
    </xdr:from>
    <xdr:to>
      <xdr:col>20</xdr:col>
      <xdr:colOff>238125</xdr:colOff>
      <xdr:row>20</xdr:row>
      <xdr:rowOff>180975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6BA95E16-5FA3-4FBA-A1B6-F0E5D7C75E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28FBDE4-EDD6-4394-BCDE-DB51D147D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238125</xdr:colOff>
      <xdr:row>2</xdr:row>
      <xdr:rowOff>180975</xdr:rowOff>
    </xdr:from>
    <xdr:to>
      <xdr:col>16</xdr:col>
      <xdr:colOff>238125</xdr:colOff>
      <xdr:row>12</xdr:row>
      <xdr:rowOff>180975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0B67CE8-9F05-4372-8128-9C662B9B07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984885</xdr:colOff>
      <xdr:row>22</xdr:row>
      <xdr:rowOff>127635</xdr:rowOff>
    </xdr:from>
    <xdr:to>
      <xdr:col>13</xdr:col>
      <xdr:colOff>177165</xdr:colOff>
      <xdr:row>32</xdr:row>
      <xdr:rowOff>150495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2C469E3-F437-4BCA-8219-CBFCCA63CA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428625</xdr:colOff>
      <xdr:row>11</xdr:row>
      <xdr:rowOff>112395</xdr:rowOff>
    </xdr:from>
    <xdr:to>
      <xdr:col>14</xdr:col>
      <xdr:colOff>17145</xdr:colOff>
      <xdr:row>21</xdr:row>
      <xdr:rowOff>135255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E9887A6-DC8A-4DE7-9F2A-33E2CDFD3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184785</xdr:colOff>
      <xdr:row>9</xdr:row>
      <xdr:rowOff>165735</xdr:rowOff>
    </xdr:from>
    <xdr:to>
      <xdr:col>20</xdr:col>
      <xdr:colOff>184785</xdr:colOff>
      <xdr:row>19</xdr:row>
      <xdr:rowOff>165735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2893DC8C-B4AB-4E6B-9E8B-92A850A9B1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382905</xdr:colOff>
      <xdr:row>7</xdr:row>
      <xdr:rowOff>180975</xdr:rowOff>
    </xdr:from>
    <xdr:to>
      <xdr:col>26</xdr:col>
      <xdr:colOff>382905</xdr:colOff>
      <xdr:row>17</xdr:row>
      <xdr:rowOff>165735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EB418F5E-4F42-40A2-BCBF-3B9D8F1989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565785</xdr:colOff>
      <xdr:row>21</xdr:row>
      <xdr:rowOff>120015</xdr:rowOff>
    </xdr:from>
    <xdr:to>
      <xdr:col>19</xdr:col>
      <xdr:colOff>565785</xdr:colOff>
      <xdr:row>31</xdr:row>
      <xdr:rowOff>120015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03A68B51-2435-40AB-A0E5-6438548D3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100965</xdr:colOff>
      <xdr:row>18</xdr:row>
      <xdr:rowOff>104775</xdr:rowOff>
    </xdr:from>
    <xdr:to>
      <xdr:col>26</xdr:col>
      <xdr:colOff>100965</xdr:colOff>
      <xdr:row>28</xdr:row>
      <xdr:rowOff>104775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AA7ADDAE-935A-4D14-B107-1E2EF1DF2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742950</xdr:colOff>
      <xdr:row>26</xdr:row>
      <xdr:rowOff>0</xdr:rowOff>
    </xdr:from>
    <xdr:to>
      <xdr:col>7</xdr:col>
      <xdr:colOff>704850</xdr:colOff>
      <xdr:row>36</xdr:row>
      <xdr:rowOff>38100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8C8929D-FBAF-4D36-AB06-70B09E7C4A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352425</xdr:colOff>
      <xdr:row>26</xdr:row>
      <xdr:rowOff>57150</xdr:rowOff>
    </xdr:from>
    <xdr:to>
      <xdr:col>13</xdr:col>
      <xdr:colOff>581025</xdr:colOff>
      <xdr:row>36</xdr:row>
      <xdr:rowOff>85725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84D60B4-D5FB-41E9-AB74-8B86FBDB1C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828675</xdr:colOff>
      <xdr:row>36</xdr:row>
      <xdr:rowOff>180975</xdr:rowOff>
    </xdr:from>
    <xdr:to>
      <xdr:col>7</xdr:col>
      <xdr:colOff>790575</xdr:colOff>
      <xdr:row>47</xdr:row>
      <xdr:rowOff>38100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E935C8E-A958-401F-A2E8-4E049F0823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295275</xdr:colOff>
      <xdr:row>37</xdr:row>
      <xdr:rowOff>66675</xdr:rowOff>
    </xdr:from>
    <xdr:to>
      <xdr:col>13</xdr:col>
      <xdr:colOff>523875</xdr:colOff>
      <xdr:row>47</xdr:row>
      <xdr:rowOff>114300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D0CFD92B-DA74-414A-B425-380909095E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847725</xdr:colOff>
      <xdr:row>47</xdr:row>
      <xdr:rowOff>152400</xdr:rowOff>
    </xdr:from>
    <xdr:to>
      <xdr:col>7</xdr:col>
      <xdr:colOff>809625</xdr:colOff>
      <xdr:row>57</xdr:row>
      <xdr:rowOff>171450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2D2A4522-0262-40AC-9F49-5D1EA9A8DF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352425</xdr:colOff>
      <xdr:row>48</xdr:row>
      <xdr:rowOff>85725</xdr:rowOff>
    </xdr:from>
    <xdr:to>
      <xdr:col>13</xdr:col>
      <xdr:colOff>581025</xdr:colOff>
      <xdr:row>58</xdr:row>
      <xdr:rowOff>95250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7FE9961A-3C00-4F47-ADCB-E4584427E0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819150</xdr:colOff>
      <xdr:row>59</xdr:row>
      <xdr:rowOff>104775</xdr:rowOff>
    </xdr:from>
    <xdr:to>
      <xdr:col>7</xdr:col>
      <xdr:colOff>781050</xdr:colOff>
      <xdr:row>69</xdr:row>
      <xdr:rowOff>123825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850452C2-E97A-4A54-989C-09F441FB5D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336737</xdr:colOff>
      <xdr:row>0</xdr:row>
      <xdr:rowOff>0</xdr:rowOff>
    </xdr:from>
    <xdr:to>
      <xdr:col>17</xdr:col>
      <xdr:colOff>44481</xdr:colOff>
      <xdr:row>8</xdr:row>
      <xdr:rowOff>5548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63CA1225-6C0D-44FE-BA59-F31F5EFFE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455649" y="0"/>
          <a:ext cx="4548685" cy="157437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9</xdr:col>
      <xdr:colOff>285750</xdr:colOff>
      <xdr:row>15</xdr:row>
      <xdr:rowOff>9525</xdr:rowOff>
    </xdr:from>
    <xdr:to>
      <xdr:col>18</xdr:col>
      <xdr:colOff>491189</xdr:colOff>
      <xdr:row>22</xdr:row>
      <xdr:rowOff>95250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65D3EF8F-1F2A-4D7B-AA54-0D9D9215E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401300" y="2933700"/>
          <a:ext cx="5691839" cy="14192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9</xdr:col>
      <xdr:colOff>285751</xdr:colOff>
      <xdr:row>22</xdr:row>
      <xdr:rowOff>104776</xdr:rowOff>
    </xdr:from>
    <xdr:to>
      <xdr:col>18</xdr:col>
      <xdr:colOff>495301</xdr:colOff>
      <xdr:row>24</xdr:row>
      <xdr:rowOff>67981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3D8CBA2F-BB41-4A89-A836-7440F1A7F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401301" y="4362451"/>
          <a:ext cx="5695950" cy="35373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201143</xdr:colOff>
      <xdr:row>25</xdr:row>
      <xdr:rowOff>11783</xdr:rowOff>
    </xdr:from>
    <xdr:to>
      <xdr:col>19</xdr:col>
      <xdr:colOff>278808</xdr:colOff>
      <xdr:row>39</xdr:row>
      <xdr:rowOff>87983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BF6F320-37F8-4026-80A9-35078636FE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53</xdr:row>
      <xdr:rowOff>93495</xdr:rowOff>
    </xdr:from>
    <xdr:to>
      <xdr:col>4</xdr:col>
      <xdr:colOff>409575</xdr:colOff>
      <xdr:row>67</xdr:row>
      <xdr:rowOff>169695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33A697E3-93AA-4972-9CFC-B6E5B948C0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266700</xdr:colOff>
      <xdr:row>53</xdr:row>
      <xdr:rowOff>119062</xdr:rowOff>
    </xdr:from>
    <xdr:to>
      <xdr:col>12</xdr:col>
      <xdr:colOff>276225</xdr:colOff>
      <xdr:row>68</xdr:row>
      <xdr:rowOff>4762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494A4B1-06FD-4DDE-B0BC-49A684BBF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219634</xdr:colOff>
      <xdr:row>87</xdr:row>
      <xdr:rowOff>116541</xdr:rowOff>
    </xdr:from>
    <xdr:to>
      <xdr:col>6</xdr:col>
      <xdr:colOff>380999</xdr:colOff>
      <xdr:row>102</xdr:row>
      <xdr:rowOff>170329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151F9F0-A060-4F1A-A642-76E4C7A9A4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291353</xdr:colOff>
      <xdr:row>104</xdr:row>
      <xdr:rowOff>35861</xdr:rowOff>
    </xdr:from>
    <xdr:to>
      <xdr:col>7</xdr:col>
      <xdr:colOff>488577</xdr:colOff>
      <xdr:row>119</xdr:row>
      <xdr:rowOff>89649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FC88545A-757E-49EA-8EB7-C473162DF3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1F322-4489-41A1-A811-AA989513092F}">
  <dimension ref="A1:I46"/>
  <sheetViews>
    <sheetView topLeftCell="A4" zoomScale="85" zoomScaleNormal="85" workbookViewId="0">
      <selection activeCell="D36" sqref="D36"/>
    </sheetView>
  </sheetViews>
  <sheetFormatPr defaultRowHeight="14.4" x14ac:dyDescent="0.3"/>
  <cols>
    <col min="1" max="1" width="26.33203125" bestFit="1" customWidth="1"/>
    <col min="2" max="2" width="17.109375" bestFit="1" customWidth="1"/>
    <col min="3" max="3" width="23.33203125" bestFit="1" customWidth="1"/>
    <col min="4" max="4" width="15.5546875" bestFit="1" customWidth="1"/>
    <col min="5" max="5" width="12" bestFit="1" customWidth="1"/>
    <col min="6" max="6" width="14.6640625" bestFit="1" customWidth="1"/>
    <col min="7" max="7" width="13.109375" bestFit="1" customWidth="1"/>
    <col min="8" max="8" width="14.6640625" bestFit="1" customWidth="1"/>
    <col min="9" max="9" width="14.88671875" bestFit="1" customWidth="1"/>
  </cols>
  <sheetData>
    <row r="1" spans="1:9" x14ac:dyDescent="0.3">
      <c r="A1" t="s">
        <v>4</v>
      </c>
    </row>
    <row r="2" spans="1:9" ht="15" thickBot="1" x14ac:dyDescent="0.35"/>
    <row r="3" spans="1:9" x14ac:dyDescent="0.3">
      <c r="A3" s="8" t="s">
        <v>5</v>
      </c>
      <c r="B3" s="8"/>
    </row>
    <row r="4" spans="1:9" x14ac:dyDescent="0.3">
      <c r="A4" s="5" t="s">
        <v>6</v>
      </c>
      <c r="B4" s="5">
        <v>0.27763862614471169</v>
      </c>
    </row>
    <row r="5" spans="1:9" x14ac:dyDescent="0.3">
      <c r="A5" s="5" t="s">
        <v>7</v>
      </c>
      <c r="B5" s="5">
        <v>7.7083206727522974E-2</v>
      </c>
    </row>
    <row r="6" spans="1:9" ht="15" thickBot="1" x14ac:dyDescent="0.35">
      <c r="A6" s="5" t="s">
        <v>8</v>
      </c>
      <c r="B6" s="5">
        <v>-9.596369201106647E-2</v>
      </c>
    </row>
    <row r="7" spans="1:9" ht="15" thickBot="1" x14ac:dyDescent="0.35">
      <c r="A7" s="5" t="s">
        <v>9</v>
      </c>
      <c r="B7" s="15">
        <v>4.3030933064835164</v>
      </c>
    </row>
    <row r="8" spans="1:9" ht="15" thickBot="1" x14ac:dyDescent="0.35">
      <c r="A8" s="6" t="s">
        <v>10</v>
      </c>
      <c r="B8" s="6">
        <v>20</v>
      </c>
    </row>
    <row r="10" spans="1:9" ht="15" thickBot="1" x14ac:dyDescent="0.35">
      <c r="A10" t="s">
        <v>11</v>
      </c>
    </row>
    <row r="11" spans="1:9" x14ac:dyDescent="0.3">
      <c r="A11" s="7"/>
      <c r="B11" s="7" t="s">
        <v>16</v>
      </c>
      <c r="C11" s="7" t="s">
        <v>17</v>
      </c>
      <c r="D11" s="7" t="s">
        <v>18</v>
      </c>
      <c r="E11" s="7" t="s">
        <v>19</v>
      </c>
      <c r="F11" s="7" t="s">
        <v>20</v>
      </c>
    </row>
    <row r="12" spans="1:9" x14ac:dyDescent="0.3">
      <c r="A12" s="5" t="s">
        <v>12</v>
      </c>
      <c r="B12" s="5">
        <v>3</v>
      </c>
      <c r="C12" s="5">
        <v>24.744502931148133</v>
      </c>
      <c r="D12" s="5">
        <v>8.2481676437160445</v>
      </c>
      <c r="E12" s="5">
        <v>0.44544691230767158</v>
      </c>
      <c r="F12" s="5">
        <v>0.72384768101076669</v>
      </c>
    </row>
    <row r="13" spans="1:9" x14ac:dyDescent="0.3">
      <c r="A13" s="5" t="s">
        <v>13</v>
      </c>
      <c r="B13" s="5">
        <v>16</v>
      </c>
      <c r="C13" s="5">
        <v>296.26579206885185</v>
      </c>
      <c r="D13" s="5">
        <v>18.516612004303241</v>
      </c>
      <c r="E13" s="5"/>
      <c r="F13" s="5"/>
    </row>
    <row r="14" spans="1:9" ht="15" thickBot="1" x14ac:dyDescent="0.35">
      <c r="A14" s="6" t="s">
        <v>14</v>
      </c>
      <c r="B14" s="6">
        <v>19</v>
      </c>
      <c r="C14" s="6">
        <v>321.01029499999999</v>
      </c>
      <c r="D14" s="6"/>
      <c r="E14" s="6"/>
      <c r="F14" s="6"/>
    </row>
    <row r="15" spans="1:9" ht="15" thickBot="1" x14ac:dyDescent="0.35"/>
    <row r="16" spans="1:9" x14ac:dyDescent="0.3">
      <c r="A16" s="7"/>
      <c r="B16" s="7" t="s">
        <v>21</v>
      </c>
      <c r="C16" s="7" t="s">
        <v>9</v>
      </c>
      <c r="D16" s="7" t="s">
        <v>22</v>
      </c>
      <c r="E16" s="7" t="s">
        <v>23</v>
      </c>
      <c r="F16" s="7" t="s">
        <v>24</v>
      </c>
      <c r="G16" s="7" t="s">
        <v>25</v>
      </c>
      <c r="H16" s="7" t="s">
        <v>26</v>
      </c>
      <c r="I16" s="7" t="s">
        <v>27</v>
      </c>
    </row>
    <row r="17" spans="1:9" x14ac:dyDescent="0.3">
      <c r="A17" s="5" t="s">
        <v>15</v>
      </c>
      <c r="B17" s="5">
        <v>2.3485691797987611</v>
      </c>
      <c r="C17" s="5">
        <v>2.1376331799400696</v>
      </c>
      <c r="D17" s="5">
        <v>1.098677360474263</v>
      </c>
      <c r="E17" s="5">
        <v>0.28816706944362414</v>
      </c>
      <c r="F17" s="5">
        <v>-2.1830107261473755</v>
      </c>
      <c r="G17" s="5">
        <v>6.8801490857448977</v>
      </c>
      <c r="H17" s="5">
        <v>-2.1830107261473755</v>
      </c>
      <c r="I17" s="5">
        <v>6.8801490857448977</v>
      </c>
    </row>
    <row r="18" spans="1:9" x14ac:dyDescent="0.3">
      <c r="A18" s="5" t="s">
        <v>28</v>
      </c>
      <c r="B18" s="5">
        <v>-0.55204939822458499</v>
      </c>
      <c r="C18" s="5">
        <v>1.3728474550281993</v>
      </c>
      <c r="D18" s="5">
        <v>-0.4021199851466713</v>
      </c>
      <c r="E18" s="5">
        <v>0.6929165266849302</v>
      </c>
      <c r="F18" s="5">
        <v>-3.4623559931612782</v>
      </c>
      <c r="G18" s="5">
        <v>2.358257196712108</v>
      </c>
      <c r="H18" s="5">
        <v>-3.4623559931612782</v>
      </c>
      <c r="I18" s="5">
        <v>2.358257196712108</v>
      </c>
    </row>
    <row r="19" spans="1:9" x14ac:dyDescent="0.3">
      <c r="A19" s="5" t="s">
        <v>35</v>
      </c>
      <c r="B19" s="5">
        <v>1.1098214252565919</v>
      </c>
      <c r="C19" s="5">
        <v>1.4712937163373321</v>
      </c>
      <c r="D19" s="5">
        <v>0.75431670300298947</v>
      </c>
      <c r="E19" s="5">
        <v>0.46161753419343354</v>
      </c>
      <c r="F19" s="5">
        <v>-2.0091819207178525</v>
      </c>
      <c r="G19" s="5">
        <v>4.2288247712310358</v>
      </c>
      <c r="H19" s="5">
        <v>-2.0091819207178525</v>
      </c>
      <c r="I19" s="5">
        <v>4.2288247712310358</v>
      </c>
    </row>
    <row r="20" spans="1:9" ht="15" thickBot="1" x14ac:dyDescent="0.35">
      <c r="A20" s="6" t="s">
        <v>36</v>
      </c>
      <c r="B20" s="6">
        <v>-7.3244683790358187E-2</v>
      </c>
      <c r="C20" s="6">
        <v>0.18179365870975714</v>
      </c>
      <c r="D20" s="6">
        <v>-0.40290010284295485</v>
      </c>
      <c r="E20" s="6">
        <v>0.69235402097480014</v>
      </c>
      <c r="F20" s="6">
        <v>-0.45863002425399263</v>
      </c>
      <c r="G20" s="6">
        <v>0.31214065667327623</v>
      </c>
      <c r="H20" s="6">
        <v>-0.45863002425399263</v>
      </c>
      <c r="I20" s="6">
        <v>0.31214065667327623</v>
      </c>
    </row>
    <row r="24" spans="1:9" x14ac:dyDescent="0.3">
      <c r="A24" t="s">
        <v>29</v>
      </c>
    </row>
    <row r="25" spans="1:9" ht="15" thickBot="1" x14ac:dyDescent="0.35"/>
    <row r="26" spans="1:9" x14ac:dyDescent="0.3">
      <c r="A26" s="7" t="s">
        <v>30</v>
      </c>
      <c r="B26" s="7" t="s">
        <v>31</v>
      </c>
      <c r="C26" s="7" t="s">
        <v>3</v>
      </c>
    </row>
    <row r="27" spans="1:9" x14ac:dyDescent="0.3">
      <c r="A27" s="5">
        <v>1</v>
      </c>
      <c r="B27" s="5">
        <v>2.4810438175542893</v>
      </c>
      <c r="C27" s="5">
        <v>-1.9510438175542892</v>
      </c>
    </row>
    <row r="28" spans="1:9" x14ac:dyDescent="0.3">
      <c r="A28" s="5">
        <v>2</v>
      </c>
      <c r="B28" s="5">
        <v>3.0869900648464417</v>
      </c>
      <c r="C28" s="5">
        <v>-3.7269900648464418</v>
      </c>
    </row>
    <row r="29" spans="1:9" x14ac:dyDescent="0.3">
      <c r="A29" s="5">
        <v>3</v>
      </c>
      <c r="B29" s="5">
        <v>3.3549306726278028</v>
      </c>
      <c r="C29" s="5">
        <v>-3.1449306726278028</v>
      </c>
    </row>
    <row r="30" spans="1:9" x14ac:dyDescent="0.3">
      <c r="A30" s="5">
        <v>4</v>
      </c>
      <c r="B30" s="5">
        <v>3.1545444559795186</v>
      </c>
      <c r="C30" s="5">
        <v>-2.7745444559795187</v>
      </c>
    </row>
    <row r="31" spans="1:9" x14ac:dyDescent="0.3">
      <c r="A31" s="5">
        <v>5</v>
      </c>
      <c r="B31" s="5">
        <v>2.5343951590715554</v>
      </c>
      <c r="C31" s="5">
        <v>-4.3843951590715555</v>
      </c>
    </row>
    <row r="32" spans="1:9" x14ac:dyDescent="0.3">
      <c r="A32" s="5">
        <v>6</v>
      </c>
      <c r="B32" s="5">
        <v>1.7033817555107262</v>
      </c>
      <c r="C32" s="5">
        <v>-1.0133817555107263</v>
      </c>
    </row>
    <row r="33" spans="1:3" x14ac:dyDescent="0.3">
      <c r="A33" s="5">
        <v>7</v>
      </c>
      <c r="B33" s="5">
        <v>0.95094614063785687</v>
      </c>
      <c r="C33" s="5">
        <v>4.1590538593621433</v>
      </c>
    </row>
    <row r="34" spans="1:3" x14ac:dyDescent="0.3">
      <c r="A34" s="5">
        <v>8</v>
      </c>
      <c r="B34" s="5">
        <v>0.53651616527577961</v>
      </c>
      <c r="C34" s="5">
        <v>3.5834838347242206</v>
      </c>
    </row>
    <row r="35" spans="1:3" x14ac:dyDescent="0.3">
      <c r="A35" s="5">
        <v>9</v>
      </c>
      <c r="B35" s="5">
        <v>0.59041301434334714</v>
      </c>
      <c r="C35" s="5">
        <v>5.499586985656653</v>
      </c>
    </row>
    <row r="36" spans="1:3" x14ac:dyDescent="0.3">
      <c r="A36" s="5">
        <v>10</v>
      </c>
      <c r="B36" s="5">
        <v>1.064072943670594</v>
      </c>
      <c r="C36" s="5">
        <v>2.9459270563294058</v>
      </c>
    </row>
    <row r="37" spans="1:3" x14ac:dyDescent="0.3">
      <c r="A37" s="5">
        <v>11</v>
      </c>
      <c r="B37" s="5">
        <v>1.7485969796507064</v>
      </c>
      <c r="C37" s="5">
        <v>1.1014030203492937</v>
      </c>
    </row>
    <row r="38" spans="1:3" x14ac:dyDescent="0.3">
      <c r="A38" s="5">
        <v>12</v>
      </c>
      <c r="B38" s="5">
        <v>2.3545432269428597</v>
      </c>
      <c r="C38" s="5">
        <v>6.3454567730571396</v>
      </c>
    </row>
    <row r="39" spans="1:3" x14ac:dyDescent="0.3">
      <c r="A39" s="5">
        <v>13</v>
      </c>
      <c r="B39" s="5">
        <v>2.6224838347242208</v>
      </c>
      <c r="C39" s="5">
        <v>3.6575161652757795</v>
      </c>
    </row>
    <row r="40" spans="1:3" x14ac:dyDescent="0.3">
      <c r="A40" s="5">
        <v>14</v>
      </c>
      <c r="B40" s="5">
        <v>2.422097618075937</v>
      </c>
      <c r="C40" s="5">
        <v>1.8879023819240626</v>
      </c>
    </row>
    <row r="41" spans="1:3" x14ac:dyDescent="0.3">
      <c r="A41" s="5">
        <v>15</v>
      </c>
      <c r="B41" s="5">
        <v>1.8019483211679739</v>
      </c>
      <c r="C41" s="5">
        <v>2.9580516788320259</v>
      </c>
    </row>
    <row r="42" spans="1:3" x14ac:dyDescent="0.3">
      <c r="A42" s="5">
        <v>16</v>
      </c>
      <c r="B42" s="5">
        <v>0.9709349176071449</v>
      </c>
      <c r="C42" s="5">
        <v>-1.790934917607145</v>
      </c>
    </row>
    <row r="43" spans="1:3" x14ac:dyDescent="0.3">
      <c r="A43" s="5">
        <v>17</v>
      </c>
      <c r="B43" s="5">
        <v>0.21849930273427409</v>
      </c>
      <c r="C43" s="5">
        <v>2.8515006972657257</v>
      </c>
    </row>
    <row r="44" spans="1:3" x14ac:dyDescent="0.3">
      <c r="A44" s="5">
        <v>18</v>
      </c>
      <c r="B44" s="5">
        <v>-0.1959306726278025</v>
      </c>
      <c r="C44" s="5">
        <v>-6.1240693273721973</v>
      </c>
    </row>
    <row r="45" spans="1:3" x14ac:dyDescent="0.3">
      <c r="A45" s="5">
        <v>19</v>
      </c>
      <c r="B45" s="5">
        <v>-0.14203382356023475</v>
      </c>
      <c r="C45" s="5">
        <v>-6.5979661764397655</v>
      </c>
    </row>
    <row r="46" spans="1:3" ht="15" thickBot="1" x14ac:dyDescent="0.35">
      <c r="A46" s="6">
        <v>20</v>
      </c>
      <c r="B46" s="6">
        <v>0.33162610576701179</v>
      </c>
      <c r="C46" s="6">
        <v>-3.4816261057670115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056F0-E2CB-4E0E-8C64-36D9129E6029}">
  <dimension ref="A1:I45"/>
  <sheetViews>
    <sheetView topLeftCell="A4" zoomScale="85" zoomScaleNormal="85" workbookViewId="0">
      <selection activeCell="B7" sqref="B7"/>
    </sheetView>
  </sheetViews>
  <sheetFormatPr defaultRowHeight="14.4" x14ac:dyDescent="0.3"/>
  <cols>
    <col min="1" max="1" width="26.33203125" bestFit="1" customWidth="1"/>
    <col min="2" max="2" width="17.109375" bestFit="1" customWidth="1"/>
    <col min="3" max="3" width="23.33203125" bestFit="1" customWidth="1"/>
    <col min="4" max="4" width="15.5546875" bestFit="1" customWidth="1"/>
    <col min="5" max="5" width="13.109375" bestFit="1" customWidth="1"/>
    <col min="6" max="6" width="14.6640625" bestFit="1" customWidth="1"/>
    <col min="7" max="7" width="13.6640625" bestFit="1" customWidth="1"/>
    <col min="8" max="9" width="14.88671875" bestFit="1" customWidth="1"/>
  </cols>
  <sheetData>
    <row r="1" spans="1:9" x14ac:dyDescent="0.3">
      <c r="A1" t="s">
        <v>4</v>
      </c>
    </row>
    <row r="2" spans="1:9" ht="15" thickBot="1" x14ac:dyDescent="0.35"/>
    <row r="3" spans="1:9" x14ac:dyDescent="0.3">
      <c r="A3" s="8" t="s">
        <v>5</v>
      </c>
      <c r="B3" s="8"/>
    </row>
    <row r="4" spans="1:9" x14ac:dyDescent="0.3">
      <c r="A4" s="5" t="s">
        <v>6</v>
      </c>
      <c r="B4" s="5">
        <v>0.77095299960614661</v>
      </c>
    </row>
    <row r="5" spans="1:9" x14ac:dyDescent="0.3">
      <c r="A5" s="5" t="s">
        <v>7</v>
      </c>
      <c r="B5" s="5">
        <v>0.5943685276017151</v>
      </c>
    </row>
    <row r="6" spans="1:9" ht="15" thickBot="1" x14ac:dyDescent="0.35">
      <c r="A6" s="5" t="s">
        <v>8</v>
      </c>
      <c r="B6" s="6">
        <v>0.54664717790779926</v>
      </c>
    </row>
    <row r="7" spans="1:9" ht="15" thickBot="1" x14ac:dyDescent="0.35">
      <c r="A7" s="13" t="s">
        <v>9</v>
      </c>
      <c r="B7" s="14">
        <v>2.7675841941160608</v>
      </c>
    </row>
    <row r="8" spans="1:9" ht="15" thickBot="1" x14ac:dyDescent="0.35">
      <c r="A8" s="6" t="s">
        <v>10</v>
      </c>
      <c r="B8" s="6">
        <v>20</v>
      </c>
    </row>
    <row r="10" spans="1:9" ht="15" thickBot="1" x14ac:dyDescent="0.35">
      <c r="A10" t="s">
        <v>11</v>
      </c>
    </row>
    <row r="11" spans="1:9" x14ac:dyDescent="0.3">
      <c r="A11" s="7"/>
      <c r="B11" s="7" t="s">
        <v>16</v>
      </c>
      <c r="C11" s="7" t="s">
        <v>17</v>
      </c>
      <c r="D11" s="7" t="s">
        <v>18</v>
      </c>
      <c r="E11" s="7" t="s">
        <v>19</v>
      </c>
      <c r="F11" s="7" t="s">
        <v>20</v>
      </c>
    </row>
    <row r="12" spans="1:9" x14ac:dyDescent="0.3">
      <c r="A12" s="5" t="s">
        <v>12</v>
      </c>
      <c r="B12" s="5">
        <v>2</v>
      </c>
      <c r="C12" s="5">
        <v>190.7984163841422</v>
      </c>
      <c r="D12" s="5">
        <v>95.3992081920711</v>
      </c>
      <c r="E12" s="5">
        <v>12.454981500187804</v>
      </c>
      <c r="F12" s="5">
        <v>4.6678723770754562E-4</v>
      </c>
    </row>
    <row r="13" spans="1:9" x14ac:dyDescent="0.3">
      <c r="A13" s="5" t="s">
        <v>13</v>
      </c>
      <c r="B13" s="5">
        <v>17</v>
      </c>
      <c r="C13" s="5">
        <v>130.21187861585778</v>
      </c>
      <c r="D13" s="5">
        <v>7.6595222715210465</v>
      </c>
      <c r="E13" s="5"/>
      <c r="F13" s="5"/>
    </row>
    <row r="14" spans="1:9" ht="15" thickBot="1" x14ac:dyDescent="0.35">
      <c r="A14" s="6" t="s">
        <v>14</v>
      </c>
      <c r="B14" s="6">
        <v>19</v>
      </c>
      <c r="C14" s="6">
        <v>321.01029499999999</v>
      </c>
      <c r="D14" s="6"/>
      <c r="E14" s="6"/>
      <c r="F14" s="6"/>
    </row>
    <row r="15" spans="1:9" ht="15" thickBot="1" x14ac:dyDescent="0.35"/>
    <row r="16" spans="1:9" x14ac:dyDescent="0.3">
      <c r="A16" s="7"/>
      <c r="B16" s="7" t="s">
        <v>21</v>
      </c>
      <c r="C16" s="7" t="s">
        <v>9</v>
      </c>
      <c r="D16" s="7" t="s">
        <v>22</v>
      </c>
      <c r="E16" s="7" t="s">
        <v>23</v>
      </c>
      <c r="F16" s="7" t="s">
        <v>24</v>
      </c>
      <c r="G16" s="7" t="s">
        <v>25</v>
      </c>
      <c r="H16" s="7" t="s">
        <v>26</v>
      </c>
      <c r="I16" s="7" t="s">
        <v>27</v>
      </c>
    </row>
    <row r="17" spans="1:9" x14ac:dyDescent="0.3">
      <c r="A17" s="5" t="s">
        <v>15</v>
      </c>
      <c r="B17" s="5">
        <v>-4.8011315789473645</v>
      </c>
      <c r="C17" s="5">
        <v>2.0590319973421383</v>
      </c>
      <c r="D17" s="5">
        <v>-2.3317420929566963</v>
      </c>
      <c r="E17" s="5">
        <v>3.2271242061493413E-2</v>
      </c>
      <c r="F17" s="5">
        <v>-9.1453093621970574</v>
      </c>
      <c r="G17" s="5">
        <v>-0.45695379569767258</v>
      </c>
      <c r="H17" s="5">
        <v>-9.1453093621970574</v>
      </c>
      <c r="I17" s="5">
        <v>-0.45695379569767258</v>
      </c>
    </row>
    <row r="18" spans="1:9" x14ac:dyDescent="0.3">
      <c r="A18" s="5" t="s">
        <v>28</v>
      </c>
      <c r="B18" s="5">
        <v>1.9878677375256315</v>
      </c>
      <c r="C18" s="5">
        <v>0.4515776192304552</v>
      </c>
      <c r="D18" s="5">
        <v>4.4020510602655794</v>
      </c>
      <c r="E18" s="5">
        <v>3.8946656240432297E-4</v>
      </c>
      <c r="F18" s="5">
        <v>1.0351222418723349</v>
      </c>
      <c r="G18" s="5">
        <v>2.9406132331789281</v>
      </c>
      <c r="H18" s="5">
        <v>1.0351222418723349</v>
      </c>
      <c r="I18" s="5">
        <v>2.9406132331789281</v>
      </c>
    </row>
    <row r="19" spans="1:9" ht="15" thickBot="1" x14ac:dyDescent="0.35">
      <c r="A19" s="6" t="s">
        <v>35</v>
      </c>
      <c r="B19" s="6">
        <v>-0.10098940533151056</v>
      </c>
      <c r="C19" s="6">
        <v>2.0887576599601165E-2</v>
      </c>
      <c r="D19" s="6">
        <v>-4.8349029314122962</v>
      </c>
      <c r="E19" s="6">
        <v>1.550087370050661E-4</v>
      </c>
      <c r="F19" s="6">
        <v>-0.14505833982453575</v>
      </c>
      <c r="G19" s="6">
        <v>-5.6920470838485358E-2</v>
      </c>
      <c r="H19" s="6">
        <v>-0.14505833982453575</v>
      </c>
      <c r="I19" s="6">
        <v>-5.6920470838485358E-2</v>
      </c>
    </row>
    <row r="23" spans="1:9" x14ac:dyDescent="0.3">
      <c r="A23" t="s">
        <v>29</v>
      </c>
    </row>
    <row r="24" spans="1:9" ht="15" thickBot="1" x14ac:dyDescent="0.35"/>
    <row r="25" spans="1:9" x14ac:dyDescent="0.3">
      <c r="A25" s="7" t="s">
        <v>30</v>
      </c>
      <c r="B25" s="7" t="s">
        <v>31</v>
      </c>
      <c r="C25" s="7" t="s">
        <v>3</v>
      </c>
    </row>
    <row r="26" spans="1:9" x14ac:dyDescent="0.3">
      <c r="A26" s="5">
        <v>1</v>
      </c>
      <c r="B26" s="5">
        <v>-2.9142532467532436</v>
      </c>
      <c r="C26" s="5">
        <v>3.4442532467532434</v>
      </c>
    </row>
    <row r="27" spans="1:9" x14ac:dyDescent="0.3">
      <c r="A27" s="5">
        <v>2</v>
      </c>
      <c r="B27" s="5">
        <v>-1.2293537252221438</v>
      </c>
      <c r="C27" s="5">
        <v>0.5893537252221438</v>
      </c>
    </row>
    <row r="28" spans="1:9" x14ac:dyDescent="0.3">
      <c r="A28" s="5">
        <v>3</v>
      </c>
      <c r="B28" s="5">
        <v>0.25356698564593516</v>
      </c>
      <c r="C28" s="5">
        <v>-4.3566985645935169E-2</v>
      </c>
    </row>
    <row r="29" spans="1:9" x14ac:dyDescent="0.3">
      <c r="A29" s="5">
        <v>4</v>
      </c>
      <c r="B29" s="5">
        <v>1.5345088858509925</v>
      </c>
      <c r="C29" s="5">
        <v>-1.1545088858509924</v>
      </c>
    </row>
    <row r="30" spans="1:9" x14ac:dyDescent="0.3">
      <c r="A30" s="5">
        <v>5</v>
      </c>
      <c r="B30" s="5">
        <v>2.6134719753930296</v>
      </c>
      <c r="C30" s="5">
        <v>-4.4634719753930296</v>
      </c>
    </row>
    <row r="31" spans="1:9" x14ac:dyDescent="0.3">
      <c r="A31" s="5">
        <v>6</v>
      </c>
      <c r="B31" s="5">
        <v>3.4904562542720448</v>
      </c>
      <c r="C31" s="5">
        <v>-2.8004562542720448</v>
      </c>
    </row>
    <row r="32" spans="1:9" x14ac:dyDescent="0.3">
      <c r="A32" s="5">
        <v>7</v>
      </c>
      <c r="B32" s="5">
        <v>4.1654617224880388</v>
      </c>
      <c r="C32" s="5">
        <v>0.94453827751196151</v>
      </c>
    </row>
    <row r="33" spans="1:3" x14ac:dyDescent="0.3">
      <c r="A33" s="5">
        <v>8</v>
      </c>
      <c r="B33" s="5">
        <v>4.6384883800410117</v>
      </c>
      <c r="C33" s="5">
        <v>-0.51848838004101161</v>
      </c>
    </row>
    <row r="34" spans="1:3" x14ac:dyDescent="0.3">
      <c r="A34" s="5">
        <v>9</v>
      </c>
      <c r="B34" s="5">
        <v>4.9095362269309639</v>
      </c>
      <c r="C34" s="5">
        <v>1.1804637730690359</v>
      </c>
    </row>
    <row r="35" spans="1:3" x14ac:dyDescent="0.3">
      <c r="A35" s="5">
        <v>10</v>
      </c>
      <c r="B35" s="5">
        <v>4.9786052631578954</v>
      </c>
      <c r="C35" s="5">
        <v>-0.96860526315789564</v>
      </c>
    </row>
    <row r="36" spans="1:3" x14ac:dyDescent="0.3">
      <c r="A36" s="5">
        <v>11</v>
      </c>
      <c r="B36" s="5">
        <v>4.8456954887218018</v>
      </c>
      <c r="C36" s="5">
        <v>-1.9956954887218017</v>
      </c>
    </row>
    <row r="37" spans="1:3" x14ac:dyDescent="0.3">
      <c r="A37" s="5">
        <v>12</v>
      </c>
      <c r="B37" s="5">
        <v>4.5108069036226919</v>
      </c>
      <c r="C37" s="5">
        <v>4.1891930963773074</v>
      </c>
    </row>
    <row r="38" spans="1:3" x14ac:dyDescent="0.3">
      <c r="A38" s="5">
        <v>13</v>
      </c>
      <c r="B38" s="5">
        <v>3.9739395078605604</v>
      </c>
      <c r="C38" s="5">
        <v>2.3060604921394399</v>
      </c>
    </row>
    <row r="39" spans="1:3" x14ac:dyDescent="0.3">
      <c r="A39" s="5">
        <v>14</v>
      </c>
      <c r="B39" s="5">
        <v>3.2350933014354091</v>
      </c>
      <c r="C39" s="5">
        <v>1.0749066985645905</v>
      </c>
    </row>
    <row r="40" spans="1:3" x14ac:dyDescent="0.3">
      <c r="A40" s="5">
        <v>15</v>
      </c>
      <c r="B40" s="5">
        <v>2.2942682843472291</v>
      </c>
      <c r="C40" s="5">
        <v>2.4657317156527707</v>
      </c>
    </row>
    <row r="41" spans="1:3" x14ac:dyDescent="0.3">
      <c r="A41" s="5">
        <v>16</v>
      </c>
      <c r="B41" s="5">
        <v>1.1514644565960346</v>
      </c>
      <c r="C41" s="5">
        <v>-1.9714644565960344</v>
      </c>
    </row>
    <row r="42" spans="1:3" x14ac:dyDescent="0.3">
      <c r="A42" s="5">
        <v>17</v>
      </c>
      <c r="B42" s="5">
        <v>-0.1933181818181815</v>
      </c>
      <c r="C42" s="5">
        <v>3.2633181818181813</v>
      </c>
    </row>
    <row r="43" spans="1:3" x14ac:dyDescent="0.3">
      <c r="A43" s="5">
        <v>18</v>
      </c>
      <c r="B43" s="5">
        <v>-1.7400796308954156</v>
      </c>
      <c r="C43" s="5">
        <v>-4.5799203691045847</v>
      </c>
    </row>
    <row r="44" spans="1:3" x14ac:dyDescent="0.3">
      <c r="A44" s="5">
        <v>19</v>
      </c>
      <c r="B44" s="5">
        <v>-3.4888198906356749</v>
      </c>
      <c r="C44" s="5">
        <v>-3.2511801093643253</v>
      </c>
    </row>
    <row r="45" spans="1:3" ht="15" thickBot="1" x14ac:dyDescent="0.35">
      <c r="A45" s="6">
        <v>20</v>
      </c>
      <c r="B45" s="6">
        <v>-5.4395389610389557</v>
      </c>
      <c r="C45" s="6">
        <v>2.2895389610389558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219D8-D25F-44DE-8923-92BC33D8C0CE}">
  <dimension ref="A1:I46"/>
  <sheetViews>
    <sheetView zoomScale="115" zoomScaleNormal="115" workbookViewId="0">
      <selection activeCell="C7" sqref="C7"/>
    </sheetView>
  </sheetViews>
  <sheetFormatPr defaultRowHeight="14.4" x14ac:dyDescent="0.3"/>
  <cols>
    <col min="1" max="1" width="25.33203125" customWidth="1"/>
    <col min="2" max="2" width="17.109375" bestFit="1" customWidth="1"/>
    <col min="3" max="3" width="23.33203125" bestFit="1" customWidth="1"/>
    <col min="4" max="4" width="15.5546875" bestFit="1" customWidth="1"/>
    <col min="5" max="5" width="12" bestFit="1" customWidth="1"/>
    <col min="6" max="6" width="14.6640625" bestFit="1" customWidth="1"/>
    <col min="7" max="7" width="13.109375" bestFit="1" customWidth="1"/>
    <col min="8" max="8" width="14.6640625" bestFit="1" customWidth="1"/>
    <col min="9" max="9" width="14.88671875" bestFit="1" customWidth="1"/>
  </cols>
  <sheetData>
    <row r="1" spans="1:9" x14ac:dyDescent="0.3">
      <c r="A1" t="s">
        <v>4</v>
      </c>
    </row>
    <row r="2" spans="1:9" ht="15" thickBot="1" x14ac:dyDescent="0.35"/>
    <row r="3" spans="1:9" x14ac:dyDescent="0.3">
      <c r="A3" s="8" t="s">
        <v>5</v>
      </c>
      <c r="B3" s="8"/>
    </row>
    <row r="4" spans="1:9" x14ac:dyDescent="0.3">
      <c r="A4" s="5" t="s">
        <v>6</v>
      </c>
      <c r="B4" s="5">
        <v>0.81362457148630063</v>
      </c>
    </row>
    <row r="5" spans="1:9" x14ac:dyDescent="0.3">
      <c r="A5" s="5" t="s">
        <v>7</v>
      </c>
      <c r="B5" s="5">
        <v>0.66198494332626634</v>
      </c>
    </row>
    <row r="6" spans="1:9" ht="15" thickBot="1" x14ac:dyDescent="0.35">
      <c r="A6" s="5" t="s">
        <v>8</v>
      </c>
      <c r="B6" s="5">
        <v>0.59860712019994122</v>
      </c>
    </row>
    <row r="7" spans="1:9" ht="15" thickBot="1" x14ac:dyDescent="0.35">
      <c r="A7" s="5" t="s">
        <v>9</v>
      </c>
      <c r="B7" s="16">
        <v>2.604159090009635</v>
      </c>
    </row>
    <row r="8" spans="1:9" ht="15" thickBot="1" x14ac:dyDescent="0.35">
      <c r="A8" s="6" t="s">
        <v>10</v>
      </c>
      <c r="B8" s="6">
        <v>20</v>
      </c>
    </row>
    <row r="10" spans="1:9" ht="15" thickBot="1" x14ac:dyDescent="0.35">
      <c r="A10" t="s">
        <v>11</v>
      </c>
    </row>
    <row r="11" spans="1:9" x14ac:dyDescent="0.3">
      <c r="A11" s="7"/>
      <c r="B11" s="7" t="s">
        <v>16</v>
      </c>
      <c r="C11" s="7" t="s">
        <v>17</v>
      </c>
      <c r="D11" s="7" t="s">
        <v>18</v>
      </c>
      <c r="E11" s="7" t="s">
        <v>19</v>
      </c>
      <c r="F11" s="7" t="s">
        <v>20</v>
      </c>
    </row>
    <row r="12" spans="1:9" x14ac:dyDescent="0.3">
      <c r="A12" s="5" t="s">
        <v>12</v>
      </c>
      <c r="B12" s="5">
        <v>3</v>
      </c>
      <c r="C12" s="5">
        <v>212.50398194272302</v>
      </c>
      <c r="D12" s="5">
        <v>70.834660647574339</v>
      </c>
      <c r="E12" s="5">
        <v>10.445056498813376</v>
      </c>
      <c r="F12" s="5">
        <v>4.7568724145119728E-4</v>
      </c>
    </row>
    <row r="13" spans="1:9" x14ac:dyDescent="0.3">
      <c r="A13" s="5" t="s">
        <v>13</v>
      </c>
      <c r="B13" s="5">
        <v>16</v>
      </c>
      <c r="C13" s="5">
        <v>108.50631305727697</v>
      </c>
      <c r="D13" s="5">
        <v>6.7816445660798106</v>
      </c>
      <c r="E13" s="5"/>
      <c r="F13" s="5"/>
    </row>
    <row r="14" spans="1:9" ht="15" thickBot="1" x14ac:dyDescent="0.35">
      <c r="A14" s="6" t="s">
        <v>14</v>
      </c>
      <c r="B14" s="6">
        <v>19</v>
      </c>
      <c r="C14" s="6">
        <v>321.01029499999999</v>
      </c>
      <c r="D14" s="6"/>
      <c r="E14" s="6"/>
      <c r="F14" s="6"/>
    </row>
    <row r="15" spans="1:9" ht="15" thickBot="1" x14ac:dyDescent="0.35"/>
    <row r="16" spans="1:9" x14ac:dyDescent="0.3">
      <c r="A16" s="7"/>
      <c r="B16" s="7" t="s">
        <v>21</v>
      </c>
      <c r="C16" s="7" t="s">
        <v>9</v>
      </c>
      <c r="D16" s="7" t="s">
        <v>22</v>
      </c>
      <c r="E16" s="7" t="s">
        <v>23</v>
      </c>
      <c r="F16" s="7" t="s">
        <v>24</v>
      </c>
      <c r="G16" s="7" t="s">
        <v>25</v>
      </c>
      <c r="H16" s="7" t="s">
        <v>26</v>
      </c>
      <c r="I16" s="7" t="s">
        <v>27</v>
      </c>
    </row>
    <row r="17" spans="1:9" x14ac:dyDescent="0.3">
      <c r="A17" s="5" t="s">
        <v>15</v>
      </c>
      <c r="B17" s="5">
        <v>-1.0749246646026691</v>
      </c>
      <c r="C17" s="5">
        <v>2.8446058973702439</v>
      </c>
      <c r="D17" s="5">
        <v>-0.37788175353092179</v>
      </c>
      <c r="E17" s="5">
        <v>0.71048457811554577</v>
      </c>
      <c r="F17" s="5">
        <v>-7.1052197806338828</v>
      </c>
      <c r="G17" s="5">
        <v>4.9553704514285446</v>
      </c>
      <c r="H17" s="5">
        <v>-7.1052197806338828</v>
      </c>
      <c r="I17" s="5">
        <v>4.9553704514285446</v>
      </c>
    </row>
    <row r="18" spans="1:9" x14ac:dyDescent="0.3">
      <c r="A18" s="5" t="s">
        <v>28</v>
      </c>
      <c r="B18" s="5">
        <v>8.6541378634523589E-2</v>
      </c>
      <c r="C18" s="5">
        <v>1.1445640762489708</v>
      </c>
      <c r="D18" s="5">
        <v>7.5610776565818674E-2</v>
      </c>
      <c r="E18" s="5">
        <v>0.94066610501327852</v>
      </c>
      <c r="F18" s="5">
        <v>-2.3398260719039503</v>
      </c>
      <c r="G18" s="5">
        <v>2.5129088291729977</v>
      </c>
      <c r="H18" s="5">
        <v>-2.3398260719039503</v>
      </c>
      <c r="I18" s="5">
        <v>2.5129088291729977</v>
      </c>
    </row>
    <row r="19" spans="1:9" x14ac:dyDescent="0.3">
      <c r="A19" s="5" t="s">
        <v>35</v>
      </c>
      <c r="B19" s="5">
        <v>0.11993195322647504</v>
      </c>
      <c r="C19" s="5">
        <v>0.12504085308963794</v>
      </c>
      <c r="D19" s="5">
        <v>0.95914215444851059</v>
      </c>
      <c r="E19" s="5">
        <v>0.35175784550410749</v>
      </c>
      <c r="F19" s="5">
        <v>-0.14514281385739486</v>
      </c>
      <c r="G19" s="5">
        <v>0.38500672031034494</v>
      </c>
      <c r="H19" s="5">
        <v>-0.14514281385739486</v>
      </c>
      <c r="I19" s="5">
        <v>0.38500672031034494</v>
      </c>
    </row>
    <row r="20" spans="1:9" ht="15" thickBot="1" x14ac:dyDescent="0.35">
      <c r="A20" s="6" t="s">
        <v>36</v>
      </c>
      <c r="B20" s="6">
        <v>-7.0133764621582752E-3</v>
      </c>
      <c r="C20" s="6">
        <v>3.920207998261975E-3</v>
      </c>
      <c r="D20" s="6">
        <v>-1.7890317210892017</v>
      </c>
      <c r="E20" s="6">
        <v>9.2556086243193988E-2</v>
      </c>
      <c r="F20" s="6">
        <v>-1.5323846171723384E-2</v>
      </c>
      <c r="G20" s="6">
        <v>1.2970932474068338E-3</v>
      </c>
      <c r="H20" s="6">
        <v>-1.5323846171723384E-2</v>
      </c>
      <c r="I20" s="6">
        <v>1.2970932474068338E-3</v>
      </c>
    </row>
    <row r="24" spans="1:9" x14ac:dyDescent="0.3">
      <c r="A24" t="s">
        <v>29</v>
      </c>
    </row>
    <row r="25" spans="1:9" ht="15" thickBot="1" x14ac:dyDescent="0.35"/>
    <row r="26" spans="1:9" x14ac:dyDescent="0.3">
      <c r="A26" s="7" t="s">
        <v>30</v>
      </c>
      <c r="B26" s="7" t="s">
        <v>31</v>
      </c>
      <c r="C26" s="7" t="s">
        <v>3</v>
      </c>
    </row>
    <row r="27" spans="1:9" x14ac:dyDescent="0.3">
      <c r="A27" s="5">
        <v>1</v>
      </c>
      <c r="B27" s="5">
        <v>-0.87546470920382879</v>
      </c>
      <c r="C27" s="5">
        <v>1.4054647092038288</v>
      </c>
    </row>
    <row r="28" spans="1:9" x14ac:dyDescent="0.3">
      <c r="A28" s="5">
        <v>2</v>
      </c>
      <c r="B28" s="5">
        <v>-0.47822110612498792</v>
      </c>
      <c r="C28" s="5">
        <v>-0.1617788938750121</v>
      </c>
    </row>
    <row r="29" spans="1:9" x14ac:dyDescent="0.3">
      <c r="A29" s="5">
        <v>3</v>
      </c>
      <c r="B29" s="5">
        <v>7.472588586090359E-2</v>
      </c>
      <c r="C29" s="5">
        <v>0.1352741141390964</v>
      </c>
    </row>
    <row r="30" spans="1:9" x14ac:dyDescent="0.3">
      <c r="A30" s="5">
        <v>4</v>
      </c>
      <c r="B30" s="5">
        <v>0.74129600798089634</v>
      </c>
      <c r="C30" s="5">
        <v>-0.36129600798089634</v>
      </c>
    </row>
    <row r="31" spans="1:9" x14ac:dyDescent="0.3">
      <c r="A31" s="5">
        <v>5</v>
      </c>
      <c r="B31" s="5">
        <v>1.47940900146204</v>
      </c>
      <c r="C31" s="5">
        <v>-3.3294090014620403</v>
      </c>
    </row>
    <row r="32" spans="1:9" x14ac:dyDescent="0.3">
      <c r="A32" s="5">
        <v>6</v>
      </c>
      <c r="B32" s="5">
        <v>2.2469846075313864</v>
      </c>
      <c r="C32" s="5">
        <v>-1.5569846075313865</v>
      </c>
    </row>
    <row r="33" spans="1:3" x14ac:dyDescent="0.3">
      <c r="A33" s="5">
        <v>7</v>
      </c>
      <c r="B33" s="5">
        <v>3.001942567415985</v>
      </c>
      <c r="C33" s="5">
        <v>2.1080574325840153</v>
      </c>
    </row>
    <row r="34" spans="1:3" x14ac:dyDescent="0.3">
      <c r="A34" s="5">
        <v>8</v>
      </c>
      <c r="B34" s="5">
        <v>3.7022026223428854</v>
      </c>
      <c r="C34" s="5">
        <v>0.41779737765711467</v>
      </c>
    </row>
    <row r="35" spans="1:3" x14ac:dyDescent="0.3">
      <c r="A35" s="5">
        <v>9</v>
      </c>
      <c r="B35" s="5">
        <v>4.3056845135391404</v>
      </c>
      <c r="C35" s="5">
        <v>1.7843154864608595</v>
      </c>
    </row>
    <row r="36" spans="1:3" x14ac:dyDescent="0.3">
      <c r="A36" s="5">
        <v>10</v>
      </c>
      <c r="B36" s="5">
        <v>4.7703079822317953</v>
      </c>
      <c r="C36" s="5">
        <v>-0.76030798223179552</v>
      </c>
    </row>
    <row r="37" spans="1:3" x14ac:dyDescent="0.3">
      <c r="A37" s="5">
        <v>11</v>
      </c>
      <c r="B37" s="5">
        <v>5.0539927696479054</v>
      </c>
      <c r="C37" s="5">
        <v>-2.2039927696479054</v>
      </c>
    </row>
    <row r="38" spans="1:3" x14ac:dyDescent="0.3">
      <c r="A38" s="5">
        <v>12</v>
      </c>
      <c r="B38" s="5">
        <v>5.1146586170145216</v>
      </c>
      <c r="C38" s="5">
        <v>3.5853413829854777</v>
      </c>
    </row>
    <row r="39" spans="1:3" x14ac:dyDescent="0.3">
      <c r="A39" s="5">
        <v>13</v>
      </c>
      <c r="B39" s="5">
        <v>4.9102252655586884</v>
      </c>
      <c r="C39" s="5">
        <v>1.3697747344413118</v>
      </c>
    </row>
    <row r="40" spans="1:3" x14ac:dyDescent="0.3">
      <c r="A40" s="5">
        <v>14</v>
      </c>
      <c r="B40" s="5">
        <v>4.3986124565074611</v>
      </c>
      <c r="C40" s="5">
        <v>-8.8612456507461523E-2</v>
      </c>
    </row>
    <row r="41" spans="1:3" x14ac:dyDescent="0.3">
      <c r="A41" s="5">
        <v>15</v>
      </c>
      <c r="B41" s="5">
        <v>3.5377399310878914</v>
      </c>
      <c r="C41" s="5">
        <v>1.2222600689121084</v>
      </c>
    </row>
    <row r="42" spans="1:3" x14ac:dyDescent="0.3">
      <c r="A42" s="5">
        <v>16</v>
      </c>
      <c r="B42" s="5">
        <v>2.2855274305270221</v>
      </c>
      <c r="C42" s="5">
        <v>-3.105527430527022</v>
      </c>
    </row>
    <row r="43" spans="1:3" x14ac:dyDescent="0.3">
      <c r="A43" s="5">
        <v>17</v>
      </c>
      <c r="B43" s="5">
        <v>0.59989469605191914</v>
      </c>
      <c r="C43" s="5">
        <v>2.4701053039480807</v>
      </c>
    </row>
    <row r="44" spans="1:3" x14ac:dyDescent="0.3">
      <c r="A44" s="5">
        <v>18</v>
      </c>
      <c r="B44" s="5">
        <v>-1.5612385311103907</v>
      </c>
      <c r="C44" s="5">
        <v>-4.7587614688896096</v>
      </c>
    </row>
    <row r="45" spans="1:3" x14ac:dyDescent="0.3">
      <c r="A45" s="5">
        <v>19</v>
      </c>
      <c r="B45" s="5">
        <v>-4.2399525097328379</v>
      </c>
      <c r="C45" s="5">
        <v>-2.5000474902671623</v>
      </c>
    </row>
    <row r="46" spans="1:3" ht="15" thickBot="1" x14ac:dyDescent="0.35">
      <c r="A46" s="6">
        <v>20</v>
      </c>
      <c r="B46" s="6">
        <v>-7.478327498588385</v>
      </c>
      <c r="C46" s="6">
        <v>4.3283274985883846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1C251-8F30-41AB-848A-7156A275B03E}">
  <dimension ref="A1:I45"/>
  <sheetViews>
    <sheetView topLeftCell="A16" workbookViewId="0">
      <selection activeCell="B26" sqref="B26:B45"/>
    </sheetView>
  </sheetViews>
  <sheetFormatPr defaultRowHeight="14.4" x14ac:dyDescent="0.3"/>
  <cols>
    <col min="1" max="1" width="26.33203125" bestFit="1" customWidth="1"/>
    <col min="2" max="2" width="17.109375" bestFit="1" customWidth="1"/>
    <col min="3" max="3" width="23.33203125" bestFit="1" customWidth="1"/>
    <col min="4" max="4" width="15.5546875" bestFit="1" customWidth="1"/>
    <col min="5" max="5" width="12" bestFit="1" customWidth="1"/>
    <col min="6" max="6" width="14.6640625" bestFit="1" customWidth="1"/>
    <col min="7" max="7" width="13.109375" bestFit="1" customWidth="1"/>
    <col min="8" max="8" width="14.6640625" bestFit="1" customWidth="1"/>
    <col min="9" max="9" width="14.88671875" bestFit="1" customWidth="1"/>
  </cols>
  <sheetData>
    <row r="1" spans="1:9" x14ac:dyDescent="0.3">
      <c r="A1" t="s">
        <v>4</v>
      </c>
    </row>
    <row r="2" spans="1:9" ht="15" thickBot="1" x14ac:dyDescent="0.35"/>
    <row r="3" spans="1:9" x14ac:dyDescent="0.3">
      <c r="A3" s="8" t="s">
        <v>5</v>
      </c>
      <c r="B3" s="8"/>
    </row>
    <row r="4" spans="1:9" x14ac:dyDescent="0.3">
      <c r="A4" s="5" t="s">
        <v>6</v>
      </c>
      <c r="B4" s="5">
        <v>0.81355034665499104</v>
      </c>
    </row>
    <row r="5" spans="1:9" x14ac:dyDescent="0.3">
      <c r="A5" s="5" t="s">
        <v>7</v>
      </c>
      <c r="B5" s="5">
        <v>0.66186416654245617</v>
      </c>
    </row>
    <row r="6" spans="1:9" ht="15" thickBot="1" x14ac:dyDescent="0.35">
      <c r="A6" s="5" t="s">
        <v>8</v>
      </c>
      <c r="B6" s="5">
        <v>0.62208348025333338</v>
      </c>
    </row>
    <row r="7" spans="1:9" ht="15" thickBot="1" x14ac:dyDescent="0.35">
      <c r="A7" s="5" t="s">
        <v>9</v>
      </c>
      <c r="B7" s="16">
        <v>2.5268567273367286</v>
      </c>
    </row>
    <row r="8" spans="1:9" ht="15" thickBot="1" x14ac:dyDescent="0.35">
      <c r="A8" s="6" t="s">
        <v>10</v>
      </c>
      <c r="B8" s="6">
        <v>20</v>
      </c>
    </row>
    <row r="10" spans="1:9" ht="15" thickBot="1" x14ac:dyDescent="0.35">
      <c r="A10" t="s">
        <v>11</v>
      </c>
    </row>
    <row r="11" spans="1:9" x14ac:dyDescent="0.3">
      <c r="A11" s="7"/>
      <c r="B11" s="7" t="s">
        <v>16</v>
      </c>
      <c r="C11" s="7" t="s">
        <v>17</v>
      </c>
      <c r="D11" s="7" t="s">
        <v>18</v>
      </c>
      <c r="E11" s="7" t="s">
        <v>19</v>
      </c>
      <c r="F11" s="7" t="s">
        <v>20</v>
      </c>
    </row>
    <row r="12" spans="1:9" x14ac:dyDescent="0.3">
      <c r="A12" s="5" t="s">
        <v>12</v>
      </c>
      <c r="B12" s="5">
        <v>2</v>
      </c>
      <c r="C12" s="5">
        <v>212.46521135172299</v>
      </c>
      <c r="D12" s="5">
        <v>106.23260567586149</v>
      </c>
      <c r="E12" s="5">
        <v>16.637826751707628</v>
      </c>
      <c r="F12" s="5">
        <v>9.9374549751722255E-5</v>
      </c>
    </row>
    <row r="13" spans="1:9" x14ac:dyDescent="0.3">
      <c r="A13" s="5" t="s">
        <v>13</v>
      </c>
      <c r="B13" s="5">
        <v>17</v>
      </c>
      <c r="C13" s="5">
        <v>108.545083648277</v>
      </c>
      <c r="D13" s="5">
        <v>6.3850049204868826</v>
      </c>
      <c r="E13" s="5"/>
      <c r="F13" s="5"/>
    </row>
    <row r="14" spans="1:9" ht="15" thickBot="1" x14ac:dyDescent="0.35">
      <c r="A14" s="6" t="s">
        <v>14</v>
      </c>
      <c r="B14" s="6">
        <v>19</v>
      </c>
      <c r="C14" s="6">
        <v>321.01029499999999</v>
      </c>
      <c r="D14" s="6"/>
      <c r="E14" s="6"/>
      <c r="F14" s="6"/>
    </row>
    <row r="15" spans="1:9" ht="15" thickBot="1" x14ac:dyDescent="0.35"/>
    <row r="16" spans="1:9" x14ac:dyDescent="0.3">
      <c r="A16" s="7"/>
      <c r="B16" s="7" t="s">
        <v>21</v>
      </c>
      <c r="C16" s="7" t="s">
        <v>9</v>
      </c>
      <c r="D16" s="7" t="s">
        <v>22</v>
      </c>
      <c r="E16" s="7" t="s">
        <v>23</v>
      </c>
      <c r="F16" s="7" t="s">
        <v>24</v>
      </c>
      <c r="G16" s="7" t="s">
        <v>25</v>
      </c>
      <c r="H16" s="7" t="s">
        <v>26</v>
      </c>
      <c r="I16" s="7" t="s">
        <v>27</v>
      </c>
    </row>
    <row r="17" spans="1:9" x14ac:dyDescent="0.3">
      <c r="A17" s="5" t="s">
        <v>15</v>
      </c>
      <c r="B17" s="5">
        <v>-0.88035955328222926</v>
      </c>
      <c r="C17" s="5">
        <v>1.1765209771203633</v>
      </c>
      <c r="D17" s="5">
        <v>-0.74827357131955718</v>
      </c>
      <c r="E17" s="5">
        <v>0.46452221385335557</v>
      </c>
      <c r="F17" s="5">
        <v>-3.3626018384584473</v>
      </c>
      <c r="G17" s="5">
        <v>1.6018827318939888</v>
      </c>
      <c r="H17" s="5">
        <v>-3.3626018384584473</v>
      </c>
      <c r="I17" s="5">
        <v>1.6018827318939888</v>
      </c>
    </row>
    <row r="18" spans="1:9" x14ac:dyDescent="0.3">
      <c r="A18" s="5" t="s">
        <v>35</v>
      </c>
      <c r="B18" s="5">
        <v>0.12913749541668409</v>
      </c>
      <c r="C18" s="5">
        <v>2.7656169304310189E-2</v>
      </c>
      <c r="D18" s="5">
        <v>4.6693919897488527</v>
      </c>
      <c r="E18" s="5">
        <v>2.2005154536502993E-4</v>
      </c>
      <c r="F18" s="5">
        <v>7.078807859525485E-2</v>
      </c>
      <c r="G18" s="5">
        <v>0.18748691223811334</v>
      </c>
      <c r="H18" s="5">
        <v>7.078807859525485E-2</v>
      </c>
      <c r="I18" s="5">
        <v>0.18748691223811334</v>
      </c>
    </row>
    <row r="19" spans="1:9" ht="15" thickBot="1" x14ac:dyDescent="0.35">
      <c r="A19" s="6" t="s">
        <v>36</v>
      </c>
      <c r="B19" s="6">
        <v>-7.2886036458104028E-3</v>
      </c>
      <c r="C19" s="6">
        <v>1.412151155249309E-3</v>
      </c>
      <c r="D19" s="6">
        <v>-5.1613480743310598</v>
      </c>
      <c r="E19" s="6">
        <v>7.8292565184213641E-5</v>
      </c>
      <c r="F19" s="6">
        <v>-1.0267982151410709E-2</v>
      </c>
      <c r="G19" s="6">
        <v>-4.309225140210096E-3</v>
      </c>
      <c r="H19" s="6">
        <v>-1.0267982151410709E-2</v>
      </c>
      <c r="I19" s="6">
        <v>-4.309225140210096E-3</v>
      </c>
    </row>
    <row r="23" spans="1:9" x14ac:dyDescent="0.3">
      <c r="A23" t="s">
        <v>29</v>
      </c>
    </row>
    <row r="24" spans="1:9" ht="15" thickBot="1" x14ac:dyDescent="0.35"/>
    <row r="25" spans="1:9" x14ac:dyDescent="0.3">
      <c r="A25" s="7" t="s">
        <v>30</v>
      </c>
      <c r="B25" s="7" t="s">
        <v>31</v>
      </c>
      <c r="C25" s="7" t="s">
        <v>3</v>
      </c>
    </row>
    <row r="26" spans="1:9" x14ac:dyDescent="0.3">
      <c r="A26" s="5">
        <v>1</v>
      </c>
      <c r="B26" s="5">
        <v>-0.7585106615113556</v>
      </c>
      <c r="C26" s="5">
        <v>1.2885106615113555</v>
      </c>
    </row>
    <row r="27" spans="1:9" x14ac:dyDescent="0.3">
      <c r="A27" s="5">
        <v>2</v>
      </c>
      <c r="B27" s="5">
        <v>-0.4221184007819761</v>
      </c>
      <c r="C27" s="5">
        <v>-0.21788159921802391</v>
      </c>
    </row>
    <row r="28" spans="1:9" x14ac:dyDescent="0.3">
      <c r="A28" s="5">
        <v>3</v>
      </c>
      <c r="B28" s="5">
        <v>8.5085607031046812E-2</v>
      </c>
      <c r="C28" s="5">
        <v>0.12491439296895318</v>
      </c>
    </row>
    <row r="29" spans="1:9" x14ac:dyDescent="0.3">
      <c r="A29" s="5">
        <v>4</v>
      </c>
      <c r="B29" s="5">
        <v>0.71936974005285048</v>
      </c>
      <c r="C29" s="5">
        <v>-0.33936974005285048</v>
      </c>
    </row>
    <row r="30" spans="1:9" x14ac:dyDescent="0.3">
      <c r="A30" s="5">
        <v>5</v>
      </c>
      <c r="B30" s="5">
        <v>1.4370023764085726</v>
      </c>
      <c r="C30" s="5">
        <v>-3.287002376408573</v>
      </c>
    </row>
    <row r="31" spans="1:9" x14ac:dyDescent="0.3">
      <c r="A31" s="5">
        <v>6</v>
      </c>
      <c r="B31" s="5">
        <v>2.1942518942233518</v>
      </c>
      <c r="C31" s="5">
        <v>-1.5042518942233518</v>
      </c>
    </row>
    <row r="32" spans="1:9" x14ac:dyDescent="0.3">
      <c r="A32" s="5">
        <v>7</v>
      </c>
      <c r="B32" s="5">
        <v>2.9473866716223234</v>
      </c>
      <c r="C32" s="5">
        <v>2.1626133283776769</v>
      </c>
    </row>
    <row r="33" spans="1:3" x14ac:dyDescent="0.3">
      <c r="A33" s="5">
        <v>8</v>
      </c>
      <c r="B33" s="5">
        <v>3.6526750867306266</v>
      </c>
      <c r="C33" s="5">
        <v>0.46732491326937353</v>
      </c>
    </row>
    <row r="34" spans="1:3" x14ac:dyDescent="0.3">
      <c r="A34" s="5">
        <v>9</v>
      </c>
      <c r="B34" s="5">
        <v>4.266385517673398</v>
      </c>
      <c r="C34" s="5">
        <v>1.8236144823266018</v>
      </c>
    </row>
    <row r="35" spans="1:3" x14ac:dyDescent="0.3">
      <c r="A35" s="5">
        <v>10</v>
      </c>
      <c r="B35" s="5">
        <v>4.744786342575777</v>
      </c>
      <c r="C35" s="5">
        <v>-0.73478634257577724</v>
      </c>
    </row>
    <row r="36" spans="1:3" x14ac:dyDescent="0.3">
      <c r="A36" s="5">
        <v>11</v>
      </c>
      <c r="B36" s="5">
        <v>5.0441459395629007</v>
      </c>
      <c r="C36" s="5">
        <v>-2.1941459395629006</v>
      </c>
    </row>
    <row r="37" spans="1:3" x14ac:dyDescent="0.3">
      <c r="A37" s="5">
        <v>12</v>
      </c>
      <c r="B37" s="5">
        <v>5.1207326867599061</v>
      </c>
      <c r="C37" s="5">
        <v>3.5792673132400932</v>
      </c>
    </row>
    <row r="38" spans="1:3" x14ac:dyDescent="0.3">
      <c r="A38" s="5">
        <v>13</v>
      </c>
      <c r="B38" s="5">
        <v>4.9308149622919295</v>
      </c>
      <c r="C38" s="5">
        <v>1.3491850377080707</v>
      </c>
    </row>
    <row r="39" spans="1:3" x14ac:dyDescent="0.3">
      <c r="A39" s="5">
        <v>14</v>
      </c>
      <c r="B39" s="5">
        <v>4.4306611442841088</v>
      </c>
      <c r="C39" s="5">
        <v>-0.12066114428410923</v>
      </c>
    </row>
    <row r="40" spans="1:3" x14ac:dyDescent="0.3">
      <c r="A40" s="5">
        <v>15</v>
      </c>
      <c r="B40" s="5">
        <v>3.5765396108615803</v>
      </c>
      <c r="C40" s="5">
        <v>1.1834603891384194</v>
      </c>
    </row>
    <row r="41" spans="1:3" x14ac:dyDescent="0.3">
      <c r="A41" s="5">
        <v>16</v>
      </c>
      <c r="B41" s="5">
        <v>2.3247187401494926</v>
      </c>
      <c r="C41" s="5">
        <v>-3.1447187401494925</v>
      </c>
    </row>
    <row r="42" spans="1:3" x14ac:dyDescent="0.3">
      <c r="A42" s="5">
        <v>17</v>
      </c>
      <c r="B42" s="5">
        <v>0.63146691027295532</v>
      </c>
      <c r="C42" s="5">
        <v>2.4385330897270445</v>
      </c>
    </row>
    <row r="43" spans="1:3" x14ac:dyDescent="0.3">
      <c r="A43" s="5">
        <v>18</v>
      </c>
      <c r="B43" s="5">
        <v>-1.546947500642851</v>
      </c>
      <c r="C43" s="5">
        <v>-4.7730524993571493</v>
      </c>
    </row>
    <row r="44" spans="1:3" x14ac:dyDescent="0.3">
      <c r="A44" s="5">
        <v>19</v>
      </c>
      <c r="B44" s="5">
        <v>-4.254256114472831</v>
      </c>
      <c r="C44" s="5">
        <v>-2.4857438855271692</v>
      </c>
    </row>
    <row r="45" spans="1:3" ht="15" thickBot="1" x14ac:dyDescent="0.35">
      <c r="A45" s="6">
        <v>20</v>
      </c>
      <c r="B45" s="6">
        <v>-7.5341905530918183</v>
      </c>
      <c r="C45" s="6">
        <v>4.3841905530918179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73660-CAD5-4FF5-98F5-16E338B94B1B}">
  <dimension ref="A1:I47"/>
  <sheetViews>
    <sheetView topLeftCell="A13" workbookViewId="0">
      <selection activeCell="B28" sqref="B28:B47"/>
    </sheetView>
  </sheetViews>
  <sheetFormatPr defaultRowHeight="14.4" x14ac:dyDescent="0.3"/>
  <cols>
    <col min="1" max="1" width="26.33203125" bestFit="1" customWidth="1"/>
    <col min="2" max="2" width="17.109375" bestFit="1" customWidth="1"/>
    <col min="3" max="3" width="23.33203125" bestFit="1" customWidth="1"/>
    <col min="4" max="4" width="15.5546875" bestFit="1" customWidth="1"/>
    <col min="5" max="5" width="12" bestFit="1" customWidth="1"/>
    <col min="6" max="6" width="14.6640625" bestFit="1" customWidth="1"/>
    <col min="7" max="7" width="13.109375" bestFit="1" customWidth="1"/>
    <col min="8" max="8" width="14.6640625" bestFit="1" customWidth="1"/>
    <col min="9" max="9" width="14.88671875" bestFit="1" customWidth="1"/>
  </cols>
  <sheetData>
    <row r="1" spans="1:9" x14ac:dyDescent="0.3">
      <c r="A1" t="s">
        <v>4</v>
      </c>
    </row>
    <row r="2" spans="1:9" ht="15" thickBot="1" x14ac:dyDescent="0.35"/>
    <row r="3" spans="1:9" x14ac:dyDescent="0.3">
      <c r="A3" s="8" t="s">
        <v>5</v>
      </c>
      <c r="B3" s="8"/>
    </row>
    <row r="4" spans="1:9" x14ac:dyDescent="0.3">
      <c r="A4" s="5" t="s">
        <v>6</v>
      </c>
      <c r="B4" s="5">
        <v>0.85969313359876476</v>
      </c>
    </row>
    <row r="5" spans="1:9" x14ac:dyDescent="0.3">
      <c r="A5" s="5" t="s">
        <v>7</v>
      </c>
      <c r="B5" s="5">
        <v>0.73907228395686364</v>
      </c>
    </row>
    <row r="6" spans="1:9" ht="15" thickBot="1" x14ac:dyDescent="0.35">
      <c r="A6" s="5" t="s">
        <v>8</v>
      </c>
      <c r="B6" s="5">
        <v>0.66949155967869389</v>
      </c>
    </row>
    <row r="7" spans="1:9" ht="15" thickBot="1" x14ac:dyDescent="0.35">
      <c r="A7" s="5" t="s">
        <v>9</v>
      </c>
      <c r="B7" s="15">
        <v>2.3630556926810313</v>
      </c>
    </row>
    <row r="8" spans="1:9" ht="15" thickBot="1" x14ac:dyDescent="0.35">
      <c r="A8" s="6" t="s">
        <v>10</v>
      </c>
      <c r="B8" s="6">
        <v>20</v>
      </c>
    </row>
    <row r="10" spans="1:9" ht="15" thickBot="1" x14ac:dyDescent="0.35">
      <c r="A10" t="s">
        <v>11</v>
      </c>
    </row>
    <row r="11" spans="1:9" x14ac:dyDescent="0.3">
      <c r="A11" s="7"/>
      <c r="B11" s="7" t="s">
        <v>16</v>
      </c>
      <c r="C11" s="7" t="s">
        <v>17</v>
      </c>
      <c r="D11" s="7" t="s">
        <v>18</v>
      </c>
      <c r="E11" s="7" t="s">
        <v>19</v>
      </c>
      <c r="F11" s="7" t="s">
        <v>20</v>
      </c>
    </row>
    <row r="12" spans="1:9" x14ac:dyDescent="0.3">
      <c r="A12" s="5" t="s">
        <v>12</v>
      </c>
      <c r="B12" s="5">
        <v>4</v>
      </c>
      <c r="C12" s="5">
        <v>237.24981189931654</v>
      </c>
      <c r="D12" s="5">
        <v>59.312452974829135</v>
      </c>
      <c r="E12" s="5">
        <v>10.621796361334235</v>
      </c>
      <c r="F12" s="5">
        <v>2.7522083792530749E-4</v>
      </c>
    </row>
    <row r="13" spans="1:9" x14ac:dyDescent="0.3">
      <c r="A13" s="5" t="s">
        <v>13</v>
      </c>
      <c r="B13" s="5">
        <v>15</v>
      </c>
      <c r="C13" s="5">
        <v>83.760483100683444</v>
      </c>
      <c r="D13" s="5">
        <v>5.5840322067122292</v>
      </c>
      <c r="E13" s="5"/>
      <c r="F13" s="5"/>
    </row>
    <row r="14" spans="1:9" ht="15" thickBot="1" x14ac:dyDescent="0.35">
      <c r="A14" s="6" t="s">
        <v>14</v>
      </c>
      <c r="B14" s="6">
        <v>19</v>
      </c>
      <c r="C14" s="6">
        <v>321.01029499999999</v>
      </c>
      <c r="D14" s="6"/>
      <c r="E14" s="6"/>
      <c r="F14" s="6"/>
    </row>
    <row r="15" spans="1:9" ht="15" thickBot="1" x14ac:dyDescent="0.35"/>
    <row r="16" spans="1:9" x14ac:dyDescent="0.3">
      <c r="A16" s="7"/>
      <c r="B16" s="7" t="s">
        <v>21</v>
      </c>
      <c r="C16" s="7" t="s">
        <v>9</v>
      </c>
      <c r="D16" s="7" t="s">
        <v>22</v>
      </c>
      <c r="E16" s="7" t="s">
        <v>23</v>
      </c>
      <c r="F16" s="7" t="s">
        <v>24</v>
      </c>
      <c r="G16" s="7" t="s">
        <v>25</v>
      </c>
      <c r="H16" s="7" t="s">
        <v>26</v>
      </c>
      <c r="I16" s="7" t="s">
        <v>27</v>
      </c>
    </row>
    <row r="17" spans="1:9" x14ac:dyDescent="0.3">
      <c r="A17" s="5" t="s">
        <v>15</v>
      </c>
      <c r="B17" s="5">
        <v>4.4503044375645686</v>
      </c>
      <c r="C17" s="5">
        <v>3.6812567034266421</v>
      </c>
      <c r="D17" s="5">
        <v>1.2089090210476412</v>
      </c>
      <c r="E17" s="5">
        <v>0.2454094470486817</v>
      </c>
      <c r="F17" s="5">
        <v>-3.3961084900430203</v>
      </c>
      <c r="G17" s="5">
        <v>12.296717365172157</v>
      </c>
      <c r="H17" s="5">
        <v>-3.3961084900430203</v>
      </c>
      <c r="I17" s="5">
        <v>12.296717365172157</v>
      </c>
    </row>
    <row r="18" spans="1:9" x14ac:dyDescent="0.3">
      <c r="A18" s="5" t="s">
        <v>28</v>
      </c>
      <c r="B18" s="5">
        <v>-4.2357310580081498</v>
      </c>
      <c r="C18" s="5">
        <v>2.3009532242852968</v>
      </c>
      <c r="D18" s="5">
        <v>-1.8408592635879497</v>
      </c>
      <c r="E18" s="5">
        <v>8.5507876170309624E-2</v>
      </c>
      <c r="F18" s="5">
        <v>-9.140096762265344</v>
      </c>
      <c r="G18" s="5">
        <v>0.66863464624904356</v>
      </c>
      <c r="H18" s="5">
        <v>-9.140096762265344</v>
      </c>
      <c r="I18" s="5">
        <v>0.66863464624904356</v>
      </c>
    </row>
    <row r="19" spans="1:9" x14ac:dyDescent="0.3">
      <c r="A19" s="5" t="s">
        <v>35</v>
      </c>
      <c r="B19" s="5">
        <v>0.99456923777416684</v>
      </c>
      <c r="C19" s="5">
        <v>0.43069521652293191</v>
      </c>
      <c r="D19" s="5">
        <v>2.3092182119027833</v>
      </c>
      <c r="E19" s="5">
        <v>3.558426818612187E-2</v>
      </c>
      <c r="F19" s="5">
        <v>7.6564114241595038E-2</v>
      </c>
      <c r="G19" s="5">
        <v>1.9125743613067385</v>
      </c>
      <c r="H19" s="5">
        <v>7.6564114241595038E-2</v>
      </c>
      <c r="I19" s="5">
        <v>1.9125743613067385</v>
      </c>
    </row>
    <row r="20" spans="1:9" x14ac:dyDescent="0.3">
      <c r="A20" s="5" t="s">
        <v>36</v>
      </c>
      <c r="B20" s="5">
        <v>-7.0710022896892308E-2</v>
      </c>
      <c r="C20" s="5">
        <v>3.0466336902125163E-2</v>
      </c>
      <c r="D20" s="5">
        <v>-2.3209230280638029</v>
      </c>
      <c r="E20" s="5">
        <v>3.4786891797291261E-2</v>
      </c>
      <c r="F20" s="5">
        <v>-0.13564748284179795</v>
      </c>
      <c r="G20" s="5">
        <v>-5.7725629519866511E-3</v>
      </c>
      <c r="H20" s="5">
        <v>-0.13564748284179795</v>
      </c>
      <c r="I20" s="5">
        <v>-5.7725629519866511E-3</v>
      </c>
    </row>
    <row r="21" spans="1:9" ht="15" thickBot="1" x14ac:dyDescent="0.35">
      <c r="A21" s="6" t="s">
        <v>40</v>
      </c>
      <c r="B21" s="6">
        <v>1.5165868198746197E-3</v>
      </c>
      <c r="C21" s="6">
        <v>7.2042740079446342E-4</v>
      </c>
      <c r="D21" s="6">
        <v>2.1051209576456671</v>
      </c>
      <c r="E21" s="6">
        <v>5.2546324163665566E-2</v>
      </c>
      <c r="F21" s="6">
        <v>-1.8967836157548741E-5</v>
      </c>
      <c r="G21" s="6">
        <v>3.0521414759067883E-3</v>
      </c>
      <c r="H21" s="6">
        <v>-1.8967836157548741E-5</v>
      </c>
      <c r="I21" s="6">
        <v>3.0521414759067883E-3</v>
      </c>
    </row>
    <row r="25" spans="1:9" x14ac:dyDescent="0.3">
      <c r="A25" t="s">
        <v>29</v>
      </c>
    </row>
    <row r="26" spans="1:9" ht="15" thickBot="1" x14ac:dyDescent="0.35"/>
    <row r="27" spans="1:9" x14ac:dyDescent="0.3">
      <c r="A27" s="7" t="s">
        <v>30</v>
      </c>
      <c r="B27" s="7" t="s">
        <v>31</v>
      </c>
      <c r="C27" s="7" t="s">
        <v>3</v>
      </c>
    </row>
    <row r="28" spans="1:9" x14ac:dyDescent="0.3">
      <c r="A28" s="5">
        <v>1</v>
      </c>
      <c r="B28" s="5">
        <v>1.139949181253568</v>
      </c>
      <c r="C28" s="5">
        <v>-0.60994918125356801</v>
      </c>
    </row>
    <row r="29" spans="1:9" x14ac:dyDescent="0.3">
      <c r="A29" s="5">
        <v>2</v>
      </c>
      <c r="B29" s="5">
        <v>-0.58429552141220809</v>
      </c>
      <c r="C29" s="5">
        <v>-5.5704478587791928E-2</v>
      </c>
    </row>
    <row r="30" spans="1:9" x14ac:dyDescent="0.3">
      <c r="A30" s="5">
        <v>3</v>
      </c>
      <c r="B30" s="5">
        <v>-1.0920926822986281</v>
      </c>
      <c r="C30" s="5">
        <v>1.3020926822986281</v>
      </c>
    </row>
    <row r="31" spans="1:9" x14ac:dyDescent="0.3">
      <c r="A31" s="5">
        <v>4</v>
      </c>
      <c r="B31" s="5">
        <v>-0.71670722959456601</v>
      </c>
      <c r="C31" s="5">
        <v>1.0967072295945659</v>
      </c>
    </row>
    <row r="32" spans="1:9" x14ac:dyDescent="0.3">
      <c r="A32" s="5">
        <v>5</v>
      </c>
      <c r="B32" s="5">
        <v>0.24499399218808815</v>
      </c>
      <c r="C32" s="5">
        <v>-2.0949939921880882</v>
      </c>
    </row>
    <row r="33" spans="1:3" x14ac:dyDescent="0.3">
      <c r="A33" s="5">
        <v>6</v>
      </c>
      <c r="B33" s="5">
        <v>1.5325422222144427</v>
      </c>
      <c r="C33" s="5">
        <v>-0.84254222221444275</v>
      </c>
    </row>
    <row r="34" spans="1:3" x14ac:dyDescent="0.3">
      <c r="A34" s="5">
        <v>7</v>
      </c>
      <c r="B34" s="5">
        <v>2.9218667833265934</v>
      </c>
      <c r="C34" s="5">
        <v>2.1881332166734069</v>
      </c>
    </row>
    <row r="35" spans="1:3" x14ac:dyDescent="0.3">
      <c r="A35" s="5">
        <v>8</v>
      </c>
      <c r="B35" s="5">
        <v>4.2252950820436288</v>
      </c>
      <c r="C35" s="5">
        <v>-0.1052950820436287</v>
      </c>
    </row>
    <row r="36" spans="1:3" x14ac:dyDescent="0.3">
      <c r="A36" s="5">
        <v>9</v>
      </c>
      <c r="B36" s="5">
        <v>5.2915526085616253</v>
      </c>
      <c r="C36" s="5">
        <v>0.79844739143837451</v>
      </c>
    </row>
    <row r="37" spans="1:3" x14ac:dyDescent="0.3">
      <c r="A37" s="5">
        <v>10</v>
      </c>
      <c r="B37" s="5">
        <v>6.0057629367536336</v>
      </c>
      <c r="C37" s="5">
        <v>-1.9957629367536338</v>
      </c>
    </row>
    <row r="38" spans="1:3" x14ac:dyDescent="0.3">
      <c r="A38" s="5">
        <v>11</v>
      </c>
      <c r="B38" s="5">
        <v>6.2894477241697615</v>
      </c>
      <c r="C38" s="5">
        <v>-3.4394477241697614</v>
      </c>
    </row>
    <row r="39" spans="1:3" x14ac:dyDescent="0.3">
      <c r="A39" s="5">
        <v>12</v>
      </c>
      <c r="B39" s="5">
        <v>6.100526712036995</v>
      </c>
      <c r="C39" s="5">
        <v>2.5994732879630043</v>
      </c>
    </row>
    <row r="40" spans="1:3" x14ac:dyDescent="0.3">
      <c r="A40" s="5">
        <v>13</v>
      </c>
      <c r="B40" s="5">
        <v>5.4333177252594496</v>
      </c>
      <c r="C40" s="5">
        <v>0.84668227474055069</v>
      </c>
    </row>
    <row r="41" spans="1:3" x14ac:dyDescent="0.3">
      <c r="A41" s="5">
        <v>14</v>
      </c>
      <c r="B41" s="5">
        <v>4.3185366724180625</v>
      </c>
      <c r="C41" s="5">
        <v>-8.536672418062885E-3</v>
      </c>
    </row>
    <row r="42" spans="1:3" x14ac:dyDescent="0.3">
      <c r="A42" s="5">
        <v>15</v>
      </c>
      <c r="B42" s="5">
        <v>2.8232975457709131</v>
      </c>
      <c r="C42" s="5">
        <v>1.9367024542290867</v>
      </c>
    </row>
    <row r="43" spans="1:3" x14ac:dyDescent="0.3">
      <c r="A43" s="5">
        <v>16</v>
      </c>
      <c r="B43" s="5">
        <v>1.0511124212530802</v>
      </c>
      <c r="C43" s="5">
        <v>-1.8711124212530801</v>
      </c>
    </row>
    <row r="44" spans="1:3" x14ac:dyDescent="0.3">
      <c r="A44" s="5">
        <v>17</v>
      </c>
      <c r="B44" s="5">
        <v>-0.85810854152362026</v>
      </c>
      <c r="C44" s="5">
        <v>3.9281085415236201</v>
      </c>
    </row>
    <row r="45" spans="1:3" x14ac:dyDescent="0.3">
      <c r="A45" s="5">
        <v>18</v>
      </c>
      <c r="B45" s="5">
        <v>-2.7280570992699325</v>
      </c>
      <c r="C45" s="5">
        <v>-3.5919429007300678</v>
      </c>
    </row>
    <row r="46" spans="1:3" x14ac:dyDescent="0.3">
      <c r="A46" s="5">
        <v>19</v>
      </c>
      <c r="B46" s="5">
        <v>-4.3460269250201122</v>
      </c>
      <c r="C46" s="5">
        <v>-2.393973074979888</v>
      </c>
    </row>
    <row r="47" spans="1:3" ht="15" thickBot="1" x14ac:dyDescent="0.35">
      <c r="A47" s="6">
        <v>20</v>
      </c>
      <c r="B47" s="6">
        <v>-5.4629136081310889</v>
      </c>
      <c r="C47" s="6">
        <v>2.312913608131089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6DB52-9EE9-4E8F-A2A9-D5FE84235245}">
  <dimension ref="A1:I48"/>
  <sheetViews>
    <sheetView topLeftCell="A19" workbookViewId="0">
      <selection activeCell="B29" sqref="B29:B48"/>
    </sheetView>
  </sheetViews>
  <sheetFormatPr defaultRowHeight="14.4" x14ac:dyDescent="0.3"/>
  <cols>
    <col min="1" max="1" width="26.33203125" bestFit="1" customWidth="1"/>
    <col min="2" max="2" width="17.109375" bestFit="1" customWidth="1"/>
    <col min="3" max="3" width="23.33203125" bestFit="1" customWidth="1"/>
    <col min="4" max="4" width="15.5546875" bestFit="1" customWidth="1"/>
    <col min="5" max="5" width="12" bestFit="1" customWidth="1"/>
    <col min="6" max="6" width="14.6640625" bestFit="1" customWidth="1"/>
    <col min="7" max="7" width="13.109375" bestFit="1" customWidth="1"/>
    <col min="8" max="8" width="14.6640625" bestFit="1" customWidth="1"/>
    <col min="9" max="9" width="14.88671875" bestFit="1" customWidth="1"/>
  </cols>
  <sheetData>
    <row r="1" spans="1:9" x14ac:dyDescent="0.3">
      <c r="A1" t="s">
        <v>4</v>
      </c>
    </row>
    <row r="2" spans="1:9" ht="15" thickBot="1" x14ac:dyDescent="0.35"/>
    <row r="3" spans="1:9" x14ac:dyDescent="0.3">
      <c r="A3" s="8" t="s">
        <v>5</v>
      </c>
      <c r="B3" s="8"/>
    </row>
    <row r="4" spans="1:9" x14ac:dyDescent="0.3">
      <c r="A4" s="5" t="s">
        <v>6</v>
      </c>
      <c r="B4" s="5">
        <v>0.87356483811772667</v>
      </c>
    </row>
    <row r="5" spans="1:9" x14ac:dyDescent="0.3">
      <c r="A5" s="5" t="s">
        <v>7</v>
      </c>
      <c r="B5" s="5">
        <v>0.76311552639564995</v>
      </c>
    </row>
    <row r="6" spans="1:9" ht="15" thickBot="1" x14ac:dyDescent="0.35">
      <c r="A6" s="5" t="s">
        <v>8</v>
      </c>
      <c r="B6" s="5">
        <v>0.67851392867981064</v>
      </c>
    </row>
    <row r="7" spans="1:9" ht="15" thickBot="1" x14ac:dyDescent="0.35">
      <c r="A7" s="5" t="s">
        <v>9</v>
      </c>
      <c r="B7" s="15">
        <v>2.3305786337402523</v>
      </c>
    </row>
    <row r="8" spans="1:9" ht="15" thickBot="1" x14ac:dyDescent="0.35">
      <c r="A8" s="6" t="s">
        <v>10</v>
      </c>
      <c r="B8" s="6">
        <v>20</v>
      </c>
    </row>
    <row r="10" spans="1:9" ht="15" thickBot="1" x14ac:dyDescent="0.35">
      <c r="A10" t="s">
        <v>11</v>
      </c>
    </row>
    <row r="11" spans="1:9" x14ac:dyDescent="0.3">
      <c r="A11" s="7"/>
      <c r="B11" s="7" t="s">
        <v>16</v>
      </c>
      <c r="C11" s="7" t="s">
        <v>17</v>
      </c>
      <c r="D11" s="7" t="s">
        <v>18</v>
      </c>
      <c r="E11" s="7" t="s">
        <v>19</v>
      </c>
      <c r="F11" s="7" t="s">
        <v>20</v>
      </c>
    </row>
    <row r="12" spans="1:9" x14ac:dyDescent="0.3">
      <c r="A12" s="5" t="s">
        <v>12</v>
      </c>
      <c r="B12" s="5">
        <v>5</v>
      </c>
      <c r="C12" s="5">
        <v>244.96794024734785</v>
      </c>
      <c r="D12" s="5">
        <v>48.993588049469572</v>
      </c>
      <c r="E12" s="5">
        <v>9.0201077402676244</v>
      </c>
      <c r="F12" s="5">
        <v>5.2621424099753042E-4</v>
      </c>
    </row>
    <row r="13" spans="1:9" x14ac:dyDescent="0.3">
      <c r="A13" s="5" t="s">
        <v>13</v>
      </c>
      <c r="B13" s="5">
        <v>14</v>
      </c>
      <c r="C13" s="5">
        <v>76.04235475265213</v>
      </c>
      <c r="D13" s="5">
        <v>5.4315967680465809</v>
      </c>
      <c r="E13" s="5"/>
      <c r="F13" s="5"/>
    </row>
    <row r="14" spans="1:9" ht="15" thickBot="1" x14ac:dyDescent="0.35">
      <c r="A14" s="6" t="s">
        <v>14</v>
      </c>
      <c r="B14" s="6">
        <v>19</v>
      </c>
      <c r="C14" s="6">
        <v>321.01029499999999</v>
      </c>
      <c r="D14" s="6"/>
      <c r="E14" s="6"/>
      <c r="F14" s="6"/>
    </row>
    <row r="15" spans="1:9" ht="15" thickBot="1" x14ac:dyDescent="0.35"/>
    <row r="16" spans="1:9" x14ac:dyDescent="0.3">
      <c r="A16" s="7"/>
      <c r="B16" s="7" t="s">
        <v>21</v>
      </c>
      <c r="C16" s="7" t="s">
        <v>9</v>
      </c>
      <c r="D16" s="7" t="s">
        <v>22</v>
      </c>
      <c r="E16" s="7" t="s">
        <v>23</v>
      </c>
      <c r="F16" s="7" t="s">
        <v>24</v>
      </c>
      <c r="G16" s="7" t="s">
        <v>25</v>
      </c>
      <c r="H16" s="7" t="s">
        <v>26</v>
      </c>
      <c r="I16" s="7" t="s">
        <v>27</v>
      </c>
    </row>
    <row r="17" spans="1:9" x14ac:dyDescent="0.3">
      <c r="A17" s="5" t="s">
        <v>15</v>
      </c>
      <c r="B17" s="5">
        <v>4.6229102167316682E-2</v>
      </c>
      <c r="C17" s="5">
        <v>5.1799103702977716</v>
      </c>
      <c r="D17" s="5">
        <v>8.9246915221544969E-3</v>
      </c>
      <c r="E17" s="5">
        <v>0.99300515018066815</v>
      </c>
      <c r="F17" s="5">
        <v>-11.063573704654729</v>
      </c>
      <c r="G17" s="5">
        <v>11.156031908989362</v>
      </c>
      <c r="H17" s="5">
        <v>-11.063573704654729</v>
      </c>
      <c r="I17" s="5">
        <v>11.156031908989362</v>
      </c>
    </row>
    <row r="18" spans="1:9" x14ac:dyDescent="0.3">
      <c r="A18" s="5" t="s">
        <v>28</v>
      </c>
      <c r="B18" s="5">
        <v>0.45705035654695081</v>
      </c>
      <c r="C18" s="5">
        <v>4.5439933697422878</v>
      </c>
      <c r="D18" s="5">
        <v>0.10058341184878805</v>
      </c>
      <c r="E18" s="5">
        <v>0.92130740700033886</v>
      </c>
      <c r="F18" s="5">
        <v>-9.2888461328630729</v>
      </c>
      <c r="G18" s="5">
        <v>10.202946845956975</v>
      </c>
      <c r="H18" s="5">
        <v>-9.2888461328630729</v>
      </c>
      <c r="I18" s="5">
        <v>10.202946845956975</v>
      </c>
    </row>
    <row r="19" spans="1:9" x14ac:dyDescent="0.3">
      <c r="A19" s="5" t="s">
        <v>35</v>
      </c>
      <c r="B19" s="5">
        <v>-0.42195894569600301</v>
      </c>
      <c r="C19" s="5">
        <v>1.2619572946804949</v>
      </c>
      <c r="D19" s="5">
        <v>-0.33436864105836123</v>
      </c>
      <c r="E19" s="5">
        <v>0.74305774129227797</v>
      </c>
      <c r="F19" s="5">
        <v>-3.1285881520474943</v>
      </c>
      <c r="G19" s="5">
        <v>2.2846702606554885</v>
      </c>
      <c r="H19" s="5">
        <v>-3.1285881520474943</v>
      </c>
      <c r="I19" s="5">
        <v>2.2846702606554885</v>
      </c>
    </row>
    <row r="20" spans="1:9" x14ac:dyDescent="0.3">
      <c r="A20" s="5" t="s">
        <v>36</v>
      </c>
      <c r="B20" s="5">
        <v>0.10220360687232834</v>
      </c>
      <c r="C20" s="5">
        <v>0.14813584207805852</v>
      </c>
      <c r="D20" s="5">
        <v>0.68993165623261721</v>
      </c>
      <c r="E20" s="5">
        <v>0.50151460173811047</v>
      </c>
      <c r="F20" s="5">
        <v>-0.21551617522018574</v>
      </c>
      <c r="G20" s="5">
        <v>0.41992338896484238</v>
      </c>
      <c r="H20" s="5">
        <v>-0.21551617522018574</v>
      </c>
      <c r="I20" s="5">
        <v>0.41992338896484238</v>
      </c>
    </row>
    <row r="21" spans="1:9" x14ac:dyDescent="0.3">
      <c r="A21" s="5" t="s">
        <v>40</v>
      </c>
      <c r="B21" s="5">
        <v>-7.6223046863845133E-3</v>
      </c>
      <c r="C21" s="5">
        <v>7.6994279806468294E-3</v>
      </c>
      <c r="D21" s="5">
        <v>-0.98998324363106294</v>
      </c>
      <c r="E21" s="5">
        <v>0.33898483428846371</v>
      </c>
      <c r="F21" s="5">
        <v>-2.4135935323857695E-2</v>
      </c>
      <c r="G21" s="5">
        <v>8.8913259510886699E-3</v>
      </c>
      <c r="H21" s="5">
        <v>-2.4135935323857695E-2</v>
      </c>
      <c r="I21" s="5">
        <v>8.8913259510886699E-3</v>
      </c>
    </row>
    <row r="22" spans="1:9" ht="15" thickBot="1" x14ac:dyDescent="0.35">
      <c r="A22" s="6" t="s">
        <v>42</v>
      </c>
      <c r="B22" s="6">
        <v>1.7407412392874525E-4</v>
      </c>
      <c r="C22" s="6">
        <v>1.4602996482266002E-4</v>
      </c>
      <c r="D22" s="6">
        <v>1.1920438667511992</v>
      </c>
      <c r="E22" s="6">
        <v>0.25305891313054263</v>
      </c>
      <c r="F22" s="6">
        <v>-1.391290006600012E-4</v>
      </c>
      <c r="G22" s="6">
        <v>4.8727724851749168E-4</v>
      </c>
      <c r="H22" s="6">
        <v>-1.391290006600012E-4</v>
      </c>
      <c r="I22" s="6">
        <v>4.8727724851749168E-4</v>
      </c>
    </row>
    <row r="26" spans="1:9" x14ac:dyDescent="0.3">
      <c r="A26" t="s">
        <v>29</v>
      </c>
    </row>
    <row r="27" spans="1:9" ht="15" thickBot="1" x14ac:dyDescent="0.35"/>
    <row r="28" spans="1:9" x14ac:dyDescent="0.3">
      <c r="A28" s="7" t="s">
        <v>30</v>
      </c>
      <c r="B28" s="7" t="s">
        <v>31</v>
      </c>
      <c r="C28" s="7" t="s">
        <v>3</v>
      </c>
    </row>
    <row r="29" spans="1:9" x14ac:dyDescent="0.3">
      <c r="A29" s="5">
        <v>1</v>
      </c>
      <c r="B29" s="5">
        <v>0.17607588932813706</v>
      </c>
      <c r="C29" s="5">
        <v>0.35392411067186297</v>
      </c>
    </row>
    <row r="30" spans="1:9" x14ac:dyDescent="0.3">
      <c r="A30" s="5">
        <v>2</v>
      </c>
      <c r="B30" s="5">
        <v>-2.6263615560599397E-2</v>
      </c>
      <c r="C30" s="5">
        <v>-0.6137363844394006</v>
      </c>
    </row>
    <row r="31" spans="1:9" x14ac:dyDescent="0.3">
      <c r="A31" s="5">
        <v>3</v>
      </c>
      <c r="B31" s="5">
        <v>-0.19585962138545304</v>
      </c>
      <c r="C31" s="5">
        <v>0.40585962138545306</v>
      </c>
    </row>
    <row r="32" spans="1:9" x14ac:dyDescent="0.3">
      <c r="A32" s="5">
        <v>4</v>
      </c>
      <c r="B32" s="5">
        <v>-0.10893985976331491</v>
      </c>
      <c r="C32" s="5">
        <v>0.48893985976331489</v>
      </c>
    </row>
    <row r="33" spans="1:3" x14ac:dyDescent="0.3">
      <c r="A33" s="5">
        <v>5</v>
      </c>
      <c r="B33" s="5">
        <v>0.33799930983004667</v>
      </c>
      <c r="C33" s="5">
        <v>-2.1879993098300465</v>
      </c>
    </row>
    <row r="34" spans="1:3" x14ac:dyDescent="0.3">
      <c r="A34" s="5">
        <v>6</v>
      </c>
      <c r="B34" s="5">
        <v>1.1490817949314298</v>
      </c>
      <c r="C34" s="5">
        <v>-0.45908179493142987</v>
      </c>
    </row>
    <row r="35" spans="1:3" x14ac:dyDescent="0.3">
      <c r="A35" s="5">
        <v>7</v>
      </c>
      <c r="B35" s="5">
        <v>2.2499406649616494</v>
      </c>
      <c r="C35" s="5">
        <v>2.860059335038351</v>
      </c>
    </row>
    <row r="36" spans="1:3" x14ac:dyDescent="0.3">
      <c r="A36" s="5">
        <v>8</v>
      </c>
      <c r="B36" s="5">
        <v>3.5086070460969969</v>
      </c>
      <c r="C36" s="5">
        <v>0.61139295390300319</v>
      </c>
    </row>
    <row r="37" spans="1:3" x14ac:dyDescent="0.3">
      <c r="A37" s="5">
        <v>9</v>
      </c>
      <c r="B37" s="5">
        <v>4.7563990161406817</v>
      </c>
      <c r="C37" s="5">
        <v>1.3336009838593181</v>
      </c>
    </row>
    <row r="38" spans="1:3" x14ac:dyDescent="0.3">
      <c r="A38" s="5">
        <v>10</v>
      </c>
      <c r="B38" s="5">
        <v>5.8088104993942622</v>
      </c>
      <c r="C38" s="5">
        <v>-1.7988104993942624</v>
      </c>
    </row>
    <row r="39" spans="1:3" x14ac:dyDescent="0.3">
      <c r="A39" s="5">
        <v>11</v>
      </c>
      <c r="B39" s="5">
        <v>6.4864001615291293</v>
      </c>
      <c r="C39" s="5">
        <v>-3.6364001615291293</v>
      </c>
    </row>
    <row r="40" spans="1:3" x14ac:dyDescent="0.3">
      <c r="A40" s="5">
        <v>12</v>
      </c>
      <c r="B40" s="5">
        <v>6.6356803044579351</v>
      </c>
      <c r="C40" s="5">
        <v>2.0643196955420642</v>
      </c>
    </row>
    <row r="41" spans="1:3" x14ac:dyDescent="0.3">
      <c r="A41" s="5">
        <v>13</v>
      </c>
      <c r="B41" s="5">
        <v>6.1500057612060459</v>
      </c>
      <c r="C41" s="5">
        <v>0.12999423879395433</v>
      </c>
    </row>
    <row r="42" spans="1:3" x14ac:dyDescent="0.3">
      <c r="A42" s="5">
        <v>14</v>
      </c>
      <c r="B42" s="5">
        <v>4.9904627907830132</v>
      </c>
      <c r="C42" s="5">
        <v>-0.68046279078301364</v>
      </c>
    </row>
    <row r="43" spans="1:3" x14ac:dyDescent="0.3">
      <c r="A43" s="5">
        <v>15</v>
      </c>
      <c r="B43" s="5">
        <v>3.2067579730540103</v>
      </c>
      <c r="C43" s="5">
        <v>1.5532420269459895</v>
      </c>
    </row>
    <row r="44" spans="1:3" x14ac:dyDescent="0.3">
      <c r="A44" s="5">
        <v>16</v>
      </c>
      <c r="B44" s="5">
        <v>0.95810710361112683</v>
      </c>
      <c r="C44" s="5">
        <v>-1.7781071036111267</v>
      </c>
    </row>
    <row r="45" spans="1:3" x14ac:dyDescent="0.3">
      <c r="A45" s="5">
        <v>17</v>
      </c>
      <c r="B45" s="5">
        <v>-1.4658759113547148</v>
      </c>
      <c r="C45" s="5">
        <v>4.5358759113547151</v>
      </c>
    </row>
    <row r="46" spans="1:3" x14ac:dyDescent="0.3">
      <c r="A46" s="5">
        <v>18</v>
      </c>
      <c r="B46" s="5">
        <v>-3.6242901601829658</v>
      </c>
      <c r="C46" s="5">
        <v>-2.6957098398170345</v>
      </c>
    </row>
    <row r="47" spans="1:3" x14ac:dyDescent="0.3">
      <c r="A47" s="5">
        <v>19</v>
      </c>
      <c r="B47" s="5">
        <v>-4.9040588308716906</v>
      </c>
      <c r="C47" s="5">
        <v>-1.8359411691283096</v>
      </c>
    </row>
    <row r="48" spans="1:3" ht="15" thickBot="1" x14ac:dyDescent="0.35">
      <c r="A48" s="6">
        <v>20</v>
      </c>
      <c r="B48" s="6">
        <v>-4.4990403162053099</v>
      </c>
      <c r="C48" s="6">
        <v>1.34904031620531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AE45E-3432-4FAF-8D34-49CF293BB1E6}">
  <dimension ref="A1:I49"/>
  <sheetViews>
    <sheetView topLeftCell="A25" workbookViewId="0">
      <selection activeCell="B30" sqref="B30:B49"/>
    </sheetView>
  </sheetViews>
  <sheetFormatPr defaultRowHeight="14.4" x14ac:dyDescent="0.3"/>
  <cols>
    <col min="1" max="1" width="26.33203125" bestFit="1" customWidth="1"/>
    <col min="2" max="2" width="17.109375" bestFit="1" customWidth="1"/>
  </cols>
  <sheetData>
    <row r="1" spans="1:9" x14ac:dyDescent="0.3">
      <c r="A1" t="s">
        <v>4</v>
      </c>
    </row>
    <row r="2" spans="1:9" ht="15" thickBot="1" x14ac:dyDescent="0.35"/>
    <row r="3" spans="1:9" x14ac:dyDescent="0.3">
      <c r="A3" s="8" t="s">
        <v>5</v>
      </c>
      <c r="B3" s="8"/>
    </row>
    <row r="4" spans="1:9" x14ac:dyDescent="0.3">
      <c r="A4" s="5" t="s">
        <v>6</v>
      </c>
      <c r="B4" s="5">
        <v>0.88605398507269517</v>
      </c>
    </row>
    <row r="5" spans="1:9" x14ac:dyDescent="0.3">
      <c r="A5" s="5" t="s">
        <v>7</v>
      </c>
      <c r="B5" s="5">
        <v>0.785091664463204</v>
      </c>
    </row>
    <row r="6" spans="1:9" ht="15" thickBot="1" x14ac:dyDescent="0.35">
      <c r="A6" s="5" t="s">
        <v>8</v>
      </c>
      <c r="B6" s="5">
        <v>0.68590320190775966</v>
      </c>
    </row>
    <row r="7" spans="1:9" ht="15" thickBot="1" x14ac:dyDescent="0.35">
      <c r="A7" s="5" t="s">
        <v>9</v>
      </c>
      <c r="B7" s="15">
        <v>2.3036390640867777</v>
      </c>
    </row>
    <row r="8" spans="1:9" ht="15" thickBot="1" x14ac:dyDescent="0.35">
      <c r="A8" s="6" t="s">
        <v>10</v>
      </c>
      <c r="B8" s="6">
        <v>20</v>
      </c>
    </row>
    <row r="10" spans="1:9" ht="15" thickBot="1" x14ac:dyDescent="0.35">
      <c r="A10" t="s">
        <v>11</v>
      </c>
    </row>
    <row r="11" spans="1:9" x14ac:dyDescent="0.3">
      <c r="A11" s="7"/>
      <c r="B11" s="7" t="s">
        <v>16</v>
      </c>
      <c r="C11" s="7" t="s">
        <v>17</v>
      </c>
      <c r="D11" s="7" t="s">
        <v>18</v>
      </c>
      <c r="E11" s="7" t="s">
        <v>19</v>
      </c>
      <c r="F11" s="7" t="s">
        <v>20</v>
      </c>
    </row>
    <row r="12" spans="1:9" x14ac:dyDescent="0.3">
      <c r="A12" s="5" t="s">
        <v>12</v>
      </c>
      <c r="B12" s="5">
        <v>6</v>
      </c>
      <c r="C12" s="5">
        <v>252.02250681137411</v>
      </c>
      <c r="D12" s="5">
        <v>42.003751135229017</v>
      </c>
      <c r="E12" s="5">
        <v>7.9151510592711727</v>
      </c>
      <c r="F12" s="5">
        <v>9.6490785262803207E-4</v>
      </c>
    </row>
    <row r="13" spans="1:9" x14ac:dyDescent="0.3">
      <c r="A13" s="5" t="s">
        <v>13</v>
      </c>
      <c r="B13" s="5">
        <v>13</v>
      </c>
      <c r="C13" s="5">
        <v>68.987788188625856</v>
      </c>
      <c r="D13" s="5">
        <v>5.3067529375866043</v>
      </c>
      <c r="E13" s="5"/>
      <c r="F13" s="5"/>
    </row>
    <row r="14" spans="1:9" ht="15" thickBot="1" x14ac:dyDescent="0.35">
      <c r="A14" s="6" t="s">
        <v>14</v>
      </c>
      <c r="B14" s="6">
        <v>19</v>
      </c>
      <c r="C14" s="6">
        <v>321.01029499999999</v>
      </c>
      <c r="D14" s="6"/>
      <c r="E14" s="6"/>
      <c r="F14" s="6"/>
    </row>
    <row r="15" spans="1:9" ht="15" thickBot="1" x14ac:dyDescent="0.35"/>
    <row r="16" spans="1:9" x14ac:dyDescent="0.3">
      <c r="A16" s="7"/>
      <c r="B16" s="7" t="s">
        <v>21</v>
      </c>
      <c r="C16" s="7" t="s">
        <v>9</v>
      </c>
      <c r="D16" s="7" t="s">
        <v>22</v>
      </c>
      <c r="E16" s="7" t="s">
        <v>23</v>
      </c>
      <c r="F16" s="7" t="s">
        <v>24</v>
      </c>
      <c r="G16" s="7" t="s">
        <v>25</v>
      </c>
      <c r="H16" s="7" t="s">
        <v>26</v>
      </c>
      <c r="I16" s="7" t="s">
        <v>27</v>
      </c>
    </row>
    <row r="17" spans="1:9" x14ac:dyDescent="0.3">
      <c r="A17" s="5" t="s">
        <v>15</v>
      </c>
      <c r="B17" s="5">
        <v>6.2840356037097536</v>
      </c>
      <c r="C17" s="5">
        <v>7.4488073337842922</v>
      </c>
      <c r="D17" s="5">
        <v>0.84362976811177792</v>
      </c>
      <c r="E17" s="5">
        <v>0.41413068599283298</v>
      </c>
      <c r="F17" s="5">
        <v>-9.8081342882280147</v>
      </c>
      <c r="G17" s="5">
        <v>22.376205495647522</v>
      </c>
      <c r="H17" s="5">
        <v>-9.8081342882280147</v>
      </c>
      <c r="I17" s="5">
        <v>22.376205495647522</v>
      </c>
    </row>
    <row r="18" spans="1:9" x14ac:dyDescent="0.3">
      <c r="A18" s="5" t="s">
        <v>28</v>
      </c>
      <c r="B18" s="5">
        <v>-7.9188880743493204</v>
      </c>
      <c r="C18" s="5">
        <v>8.5409574881986448</v>
      </c>
      <c r="D18" s="5">
        <v>-0.92716631423246632</v>
      </c>
      <c r="E18" s="5">
        <v>0.37073430766408744</v>
      </c>
      <c r="F18" s="5">
        <v>-26.370504928034855</v>
      </c>
      <c r="G18" s="5">
        <v>10.532728779336212</v>
      </c>
      <c r="H18" s="5">
        <v>-26.370504928034855</v>
      </c>
      <c r="I18" s="5">
        <v>10.532728779336212</v>
      </c>
    </row>
    <row r="19" spans="1:9" x14ac:dyDescent="0.3">
      <c r="A19" s="5" t="s">
        <v>35</v>
      </c>
      <c r="B19" s="5">
        <v>3.0115814903178544</v>
      </c>
      <c r="C19" s="5">
        <v>3.2286658279871405</v>
      </c>
      <c r="D19" s="5">
        <v>0.93276345424555018</v>
      </c>
      <c r="E19" s="5">
        <v>0.36794328611656435</v>
      </c>
      <c r="F19" s="5">
        <v>-3.9635269666580539</v>
      </c>
      <c r="G19" s="5">
        <v>9.9866899472937618</v>
      </c>
      <c r="H19" s="5">
        <v>-3.9635269666580539</v>
      </c>
      <c r="I19" s="5">
        <v>9.9866899472937618</v>
      </c>
    </row>
    <row r="20" spans="1:9" x14ac:dyDescent="0.3">
      <c r="A20" s="5" t="s">
        <v>36</v>
      </c>
      <c r="B20" s="5">
        <v>-0.50882263503548975</v>
      </c>
      <c r="C20" s="5">
        <v>0.54981116952448483</v>
      </c>
      <c r="D20" s="5">
        <v>-0.92544979665574123</v>
      </c>
      <c r="E20" s="5">
        <v>0.37159319068900731</v>
      </c>
      <c r="F20" s="5">
        <v>-1.6966174526493378</v>
      </c>
      <c r="G20" s="5">
        <v>0.67897218257835823</v>
      </c>
      <c r="H20" s="5">
        <v>-1.6966174526493378</v>
      </c>
      <c r="I20" s="5">
        <v>0.67897218257835823</v>
      </c>
    </row>
    <row r="21" spans="1:9" x14ac:dyDescent="0.3">
      <c r="A21" s="5" t="s">
        <v>40</v>
      </c>
      <c r="B21" s="5">
        <v>4.5260285143771922E-2</v>
      </c>
      <c r="C21" s="5">
        <v>4.6493218793598926E-2</v>
      </c>
      <c r="D21" s="5">
        <v>0.97348143058667402</v>
      </c>
      <c r="E21" s="5">
        <v>0.34808060078958636</v>
      </c>
      <c r="F21" s="5">
        <v>-5.5182207475986053E-2</v>
      </c>
      <c r="G21" s="5">
        <v>0.14570277776352991</v>
      </c>
      <c r="H21" s="5">
        <v>-5.5182207475986053E-2</v>
      </c>
      <c r="I21" s="5">
        <v>0.14570277776352991</v>
      </c>
    </row>
    <row r="22" spans="1:9" x14ac:dyDescent="0.3">
      <c r="A22" s="5" t="s">
        <v>42</v>
      </c>
      <c r="B22" s="5">
        <v>-2.016459931797505E-3</v>
      </c>
      <c r="C22" s="5">
        <v>1.9053687929488608E-3</v>
      </c>
      <c r="D22" s="5">
        <v>-1.0583042712044806</v>
      </c>
      <c r="E22" s="5">
        <v>0.3091859122139341</v>
      </c>
      <c r="F22" s="5">
        <v>-6.1327589510865692E-3</v>
      </c>
      <c r="G22" s="5">
        <v>2.0998390874915587E-3</v>
      </c>
      <c r="H22" s="5">
        <v>-6.1327589510865692E-3</v>
      </c>
      <c r="I22" s="5">
        <v>2.0998390874915587E-3</v>
      </c>
    </row>
    <row r="23" spans="1:9" ht="15" thickBot="1" x14ac:dyDescent="0.35">
      <c r="A23" s="6" t="s">
        <v>45</v>
      </c>
      <c r="B23" s="6">
        <v>3.4770381836926004E-5</v>
      </c>
      <c r="C23" s="6">
        <v>3.0157041015064479E-5</v>
      </c>
      <c r="D23" s="6">
        <v>1.1529772373740845</v>
      </c>
      <c r="E23" s="6">
        <v>0.26967958877036535</v>
      </c>
      <c r="F23" s="6">
        <v>-3.0379944343682179E-5</v>
      </c>
      <c r="G23" s="6">
        <v>9.9920708017534187E-5</v>
      </c>
      <c r="H23" s="6">
        <v>-3.0379944343682179E-5</v>
      </c>
      <c r="I23" s="6">
        <v>9.9920708017534187E-5</v>
      </c>
    </row>
    <row r="27" spans="1:9" x14ac:dyDescent="0.3">
      <c r="A27" t="s">
        <v>29</v>
      </c>
    </row>
    <row r="28" spans="1:9" ht="15" thickBot="1" x14ac:dyDescent="0.35"/>
    <row r="29" spans="1:9" x14ac:dyDescent="0.3">
      <c r="A29" s="7" t="s">
        <v>30</v>
      </c>
      <c r="B29" s="7" t="s">
        <v>31</v>
      </c>
      <c r="C29" s="7" t="s">
        <v>3</v>
      </c>
    </row>
    <row r="30" spans="1:9" x14ac:dyDescent="0.3">
      <c r="A30" s="5">
        <v>1</v>
      </c>
      <c r="B30" s="5">
        <v>0.9111849802366091</v>
      </c>
      <c r="C30" s="5">
        <v>-0.38118498023660907</v>
      </c>
    </row>
    <row r="31" spans="1:9" x14ac:dyDescent="0.3">
      <c r="A31" s="5">
        <v>2</v>
      </c>
      <c r="B31" s="5">
        <v>-0.9161325150809938</v>
      </c>
      <c r="C31" s="5">
        <v>0.27613251508099379</v>
      </c>
    </row>
    <row r="32" spans="1:9" x14ac:dyDescent="0.3">
      <c r="A32" s="5">
        <v>3</v>
      </c>
      <c r="B32" s="5">
        <v>-0.90517541085789088</v>
      </c>
      <c r="C32" s="5">
        <v>1.1151754108578908</v>
      </c>
    </row>
    <row r="33" spans="1:3" x14ac:dyDescent="0.3">
      <c r="A33" s="5">
        <v>4</v>
      </c>
      <c r="B33" s="5">
        <v>-0.10666398022418577</v>
      </c>
      <c r="C33" s="5">
        <v>0.48666398022418578</v>
      </c>
    </row>
    <row r="34" spans="1:3" x14ac:dyDescent="0.3">
      <c r="A34" s="5">
        <v>5</v>
      </c>
      <c r="B34" s="5">
        <v>0.90583125466551828</v>
      </c>
      <c r="C34" s="5">
        <v>-2.7558312546655186</v>
      </c>
    </row>
    <row r="35" spans="1:3" x14ac:dyDescent="0.3">
      <c r="A35" s="5">
        <v>6</v>
      </c>
      <c r="B35" s="5">
        <v>1.881535693045439</v>
      </c>
      <c r="C35" s="5">
        <v>-1.191535693045439</v>
      </c>
    </row>
    <row r="36" spans="1:3" x14ac:dyDescent="0.3">
      <c r="A36" s="5">
        <v>7</v>
      </c>
      <c r="B36" s="5">
        <v>2.7631515008746197</v>
      </c>
      <c r="C36" s="5">
        <v>2.3468484991253806</v>
      </c>
    </row>
    <row r="37" spans="1:3" x14ac:dyDescent="0.3">
      <c r="A37" s="5">
        <v>8</v>
      </c>
      <c r="B37" s="5">
        <v>3.5825731310954154</v>
      </c>
      <c r="C37" s="5">
        <v>0.53742686890458469</v>
      </c>
    </row>
    <row r="38" spans="1:3" x14ac:dyDescent="0.3">
      <c r="A38" s="5">
        <v>9</v>
      </c>
      <c r="B38" s="5">
        <v>4.3816375188145571</v>
      </c>
      <c r="C38" s="5">
        <v>1.7083624811854428</v>
      </c>
    </row>
    <row r="39" spans="1:3" x14ac:dyDescent="0.3">
      <c r="A39" s="5">
        <v>10</v>
      </c>
      <c r="B39" s="5">
        <v>5.1579089514070091</v>
      </c>
      <c r="C39" s="5">
        <v>-1.1479089514070093</v>
      </c>
    </row>
    <row r="40" spans="1:3" x14ac:dyDescent="0.3">
      <c r="A40" s="5">
        <v>11</v>
      </c>
      <c r="B40" s="5">
        <v>5.8354986135419438</v>
      </c>
      <c r="C40" s="5">
        <v>-2.9854986135419437</v>
      </c>
    </row>
    <row r="41" spans="1:3" x14ac:dyDescent="0.3">
      <c r="A41" s="5">
        <v>12</v>
      </c>
      <c r="B41" s="5">
        <v>6.2609188071321995</v>
      </c>
      <c r="C41" s="5">
        <v>2.4390811928677998</v>
      </c>
    </row>
    <row r="42" spans="1:3" x14ac:dyDescent="0.3">
      <c r="A42" s="5">
        <v>13</v>
      </c>
      <c r="B42" s="5">
        <v>6.2239718462048756</v>
      </c>
      <c r="C42" s="5">
        <v>5.6028153795124602E-2</v>
      </c>
    </row>
    <row r="43" spans="1:3" x14ac:dyDescent="0.3">
      <c r="A43" s="5">
        <v>14</v>
      </c>
      <c r="B43" s="5">
        <v>5.5036736266962976</v>
      </c>
      <c r="C43" s="5">
        <v>-1.193673626696298</v>
      </c>
    </row>
    <row r="44" spans="1:3" x14ac:dyDescent="0.3">
      <c r="A44" s="5">
        <v>15</v>
      </c>
      <c r="B44" s="5">
        <v>3.9392118711678563</v>
      </c>
      <c r="C44" s="5">
        <v>0.82078812883214347</v>
      </c>
    </row>
    <row r="45" spans="1:3" x14ac:dyDescent="0.3">
      <c r="A45" s="5">
        <v>16</v>
      </c>
      <c r="B45" s="5">
        <v>1.5259390484457072</v>
      </c>
      <c r="C45" s="5">
        <v>-2.345939048445707</v>
      </c>
    </row>
    <row r="46" spans="1:3" x14ac:dyDescent="0.3">
      <c r="A46" s="5">
        <v>17</v>
      </c>
      <c r="B46" s="5">
        <v>-1.4636000318173501</v>
      </c>
      <c r="C46" s="5">
        <v>4.5336000318173504</v>
      </c>
    </row>
    <row r="47" spans="1:3" x14ac:dyDescent="0.3">
      <c r="A47" s="5">
        <v>18</v>
      </c>
      <c r="B47" s="5">
        <v>-4.3336059496568851</v>
      </c>
      <c r="C47" s="5">
        <v>-1.9863940503431152</v>
      </c>
    </row>
    <row r="48" spans="1:3" x14ac:dyDescent="0.3">
      <c r="A48" s="5">
        <v>19</v>
      </c>
      <c r="B48" s="5">
        <v>-5.7939277303937615</v>
      </c>
      <c r="C48" s="5">
        <v>-0.94607226960623869</v>
      </c>
    </row>
    <row r="49" spans="1:3" ht="15" thickBot="1" x14ac:dyDescent="0.35">
      <c r="A49" s="6">
        <v>20</v>
      </c>
      <c r="B49" s="6">
        <v>-3.7639312252968011</v>
      </c>
      <c r="C49" s="6">
        <v>0.61393122529680122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A314-57C9-45CD-850C-FF0B95F20C51}">
  <dimension ref="A1:I51"/>
  <sheetViews>
    <sheetView topLeftCell="D7" workbookViewId="0">
      <selection activeCell="D7" sqref="D7"/>
    </sheetView>
  </sheetViews>
  <sheetFormatPr defaultRowHeight="14.4" x14ac:dyDescent="0.3"/>
  <cols>
    <col min="1" max="1" width="26.33203125" bestFit="1" customWidth="1"/>
    <col min="2" max="2" width="17.109375" bestFit="1" customWidth="1"/>
    <col min="3" max="3" width="23.33203125" bestFit="1" customWidth="1"/>
    <col min="4" max="4" width="15.5546875" bestFit="1" customWidth="1"/>
    <col min="5" max="5" width="12" bestFit="1" customWidth="1"/>
    <col min="6" max="6" width="14.6640625" bestFit="1" customWidth="1"/>
    <col min="7" max="7" width="13.109375" bestFit="1" customWidth="1"/>
    <col min="8" max="8" width="14.6640625" bestFit="1" customWidth="1"/>
    <col min="9" max="9" width="14.88671875" bestFit="1" customWidth="1"/>
  </cols>
  <sheetData>
    <row r="1" spans="1:9" x14ac:dyDescent="0.3">
      <c r="A1" t="s">
        <v>4</v>
      </c>
    </row>
    <row r="2" spans="1:9" ht="15" thickBot="1" x14ac:dyDescent="0.35"/>
    <row r="3" spans="1:9" x14ac:dyDescent="0.3">
      <c r="A3" s="8" t="s">
        <v>5</v>
      </c>
      <c r="B3" s="8"/>
    </row>
    <row r="4" spans="1:9" x14ac:dyDescent="0.3">
      <c r="A4" s="5" t="s">
        <v>6</v>
      </c>
      <c r="B4" s="5">
        <v>0.89934661595469978</v>
      </c>
    </row>
    <row r="5" spans="1:9" x14ac:dyDescent="0.3">
      <c r="A5" s="5" t="s">
        <v>7</v>
      </c>
      <c r="B5" s="5">
        <v>0.80882433562917033</v>
      </c>
    </row>
    <row r="6" spans="1:9" ht="15" thickBot="1" x14ac:dyDescent="0.35">
      <c r="A6" s="5" t="s">
        <v>8</v>
      </c>
      <c r="B6" s="5">
        <v>0.6697874888140215</v>
      </c>
    </row>
    <row r="7" spans="1:9" ht="15" thickBot="1" x14ac:dyDescent="0.35">
      <c r="A7" s="5" t="s">
        <v>9</v>
      </c>
      <c r="B7" s="17">
        <v>2.3619975447701242</v>
      </c>
    </row>
    <row r="8" spans="1:9" ht="15" thickBot="1" x14ac:dyDescent="0.35">
      <c r="A8" s="6" t="s">
        <v>10</v>
      </c>
      <c r="B8" s="6">
        <v>20</v>
      </c>
    </row>
    <row r="10" spans="1:9" ht="15" thickBot="1" x14ac:dyDescent="0.35">
      <c r="A10" t="s">
        <v>11</v>
      </c>
    </row>
    <row r="11" spans="1:9" x14ac:dyDescent="0.3">
      <c r="A11" s="7"/>
      <c r="B11" s="7" t="s">
        <v>16</v>
      </c>
      <c r="C11" s="7" t="s">
        <v>17</v>
      </c>
      <c r="D11" s="7" t="s">
        <v>18</v>
      </c>
      <c r="E11" s="7" t="s">
        <v>19</v>
      </c>
      <c r="F11" s="7" t="s">
        <v>20</v>
      </c>
    </row>
    <row r="12" spans="1:9" x14ac:dyDescent="0.3">
      <c r="A12" s="5" t="s">
        <v>12</v>
      </c>
      <c r="B12" s="5">
        <v>8</v>
      </c>
      <c r="C12" s="5">
        <v>259.64093858349895</v>
      </c>
      <c r="D12" s="5">
        <v>32.455117322937369</v>
      </c>
      <c r="E12" s="5">
        <v>5.817338023383912</v>
      </c>
      <c r="F12" s="5">
        <v>4.5541753930146752E-3</v>
      </c>
    </row>
    <row r="13" spans="1:9" x14ac:dyDescent="0.3">
      <c r="A13" s="5" t="s">
        <v>13</v>
      </c>
      <c r="B13" s="5">
        <v>11</v>
      </c>
      <c r="C13" s="5">
        <v>61.369356416501056</v>
      </c>
      <c r="D13" s="5">
        <v>5.5790324015000961</v>
      </c>
      <c r="E13" s="5"/>
      <c r="F13" s="5"/>
    </row>
    <row r="14" spans="1:9" ht="15" thickBot="1" x14ac:dyDescent="0.35">
      <c r="A14" s="6" t="s">
        <v>14</v>
      </c>
      <c r="B14" s="6">
        <v>19</v>
      </c>
      <c r="C14" s="6">
        <v>321.01029499999999</v>
      </c>
      <c r="D14" s="6"/>
      <c r="E14" s="6"/>
      <c r="F14" s="6"/>
    </row>
    <row r="15" spans="1:9" ht="15" thickBot="1" x14ac:dyDescent="0.35"/>
    <row r="16" spans="1:9" x14ac:dyDescent="0.3">
      <c r="A16" s="7"/>
      <c r="B16" s="7" t="s">
        <v>21</v>
      </c>
      <c r="C16" s="7" t="s">
        <v>9</v>
      </c>
      <c r="D16" s="7" t="s">
        <v>22</v>
      </c>
      <c r="E16" s="7" t="s">
        <v>23</v>
      </c>
      <c r="F16" s="7" t="s">
        <v>24</v>
      </c>
      <c r="G16" s="7" t="s">
        <v>25</v>
      </c>
      <c r="H16" s="7" t="s">
        <v>26</v>
      </c>
      <c r="I16" s="7" t="s">
        <v>27</v>
      </c>
    </row>
    <row r="17" spans="1:9" x14ac:dyDescent="0.3">
      <c r="A17" s="5" t="s">
        <v>15</v>
      </c>
      <c r="B17" s="5">
        <v>-3.1954195046793927</v>
      </c>
      <c r="C17" s="5">
        <v>18.085456247703291</v>
      </c>
      <c r="D17" s="5">
        <v>-0.17668448398061207</v>
      </c>
      <c r="E17" s="5">
        <v>0.86296728173936799</v>
      </c>
      <c r="F17" s="5">
        <v>-43.001240319360946</v>
      </c>
      <c r="G17" s="5">
        <v>36.61040131000216</v>
      </c>
      <c r="H17" s="5">
        <v>-43.001240319360946</v>
      </c>
      <c r="I17" s="5">
        <v>36.61040131000216</v>
      </c>
    </row>
    <row r="18" spans="1:9" x14ac:dyDescent="0.3">
      <c r="A18" s="5" t="s">
        <v>28</v>
      </c>
      <c r="B18" s="5">
        <v>7.1499543118121283</v>
      </c>
      <c r="C18" s="5">
        <v>30.479217305529403</v>
      </c>
      <c r="D18" s="5">
        <v>0.23458457742335187</v>
      </c>
      <c r="E18" s="5">
        <v>0.81884049122019797</v>
      </c>
      <c r="F18" s="5">
        <v>-59.934350668866337</v>
      </c>
      <c r="G18" s="5">
        <v>74.234259292490592</v>
      </c>
      <c r="H18" s="5">
        <v>-59.934350668866337</v>
      </c>
      <c r="I18" s="5">
        <v>74.234259292490592</v>
      </c>
    </row>
    <row r="19" spans="1:9" x14ac:dyDescent="0.3">
      <c r="A19" s="5" t="s">
        <v>35</v>
      </c>
      <c r="B19" s="5">
        <v>-4.7392562108017664</v>
      </c>
      <c r="C19" s="5">
        <v>18.127926928703001</v>
      </c>
      <c r="D19" s="5">
        <v>-0.26143398687788322</v>
      </c>
      <c r="E19" s="5">
        <v>0.7985881690979354</v>
      </c>
      <c r="F19" s="5">
        <v>-44.63855436410266</v>
      </c>
      <c r="G19" s="5">
        <v>35.160041942499134</v>
      </c>
      <c r="H19" s="5">
        <v>-44.63855436410266</v>
      </c>
      <c r="I19" s="5">
        <v>35.160041942499134</v>
      </c>
    </row>
    <row r="20" spans="1:9" x14ac:dyDescent="0.3">
      <c r="A20" s="5" t="s">
        <v>36</v>
      </c>
      <c r="B20" s="5">
        <v>1.3004683815280322</v>
      </c>
      <c r="C20" s="5">
        <v>5.2524326797878738</v>
      </c>
      <c r="D20" s="5">
        <v>0.24759353633077946</v>
      </c>
      <c r="E20" s="5">
        <v>0.80900966424213627</v>
      </c>
      <c r="F20" s="5">
        <v>-10.260058001065433</v>
      </c>
      <c r="G20" s="5">
        <v>12.860994764121498</v>
      </c>
      <c r="H20" s="5">
        <v>-10.260058001065433</v>
      </c>
      <c r="I20" s="5">
        <v>12.860994764121498</v>
      </c>
    </row>
    <row r="21" spans="1:9" x14ac:dyDescent="0.3">
      <c r="A21" s="5" t="s">
        <v>40</v>
      </c>
      <c r="B21" s="5">
        <v>-0.17146449065877484</v>
      </c>
      <c r="C21" s="5">
        <v>0.8412976883074389</v>
      </c>
      <c r="D21" s="5">
        <v>-0.2038095350098191</v>
      </c>
      <c r="E21" s="5">
        <v>0.84222387323433612</v>
      </c>
      <c r="F21" s="5">
        <v>-2.0231482178428486</v>
      </c>
      <c r="G21" s="5">
        <v>1.6802192365252988</v>
      </c>
      <c r="H21" s="5">
        <v>-2.0231482178428486</v>
      </c>
      <c r="I21" s="5">
        <v>1.6802192365252988</v>
      </c>
    </row>
    <row r="22" spans="1:9" x14ac:dyDescent="0.3">
      <c r="A22" s="5" t="s">
        <v>42</v>
      </c>
      <c r="B22" s="5">
        <v>1.1563555286618591E-2</v>
      </c>
      <c r="C22" s="5">
        <v>7.8234332879436971E-2</v>
      </c>
      <c r="D22" s="5">
        <v>0.14780665803642257</v>
      </c>
      <c r="E22" s="5">
        <v>0.88516986554235522</v>
      </c>
      <c r="F22" s="5">
        <v>-0.1606290503906915</v>
      </c>
      <c r="G22" s="5">
        <v>0.18375616096392869</v>
      </c>
      <c r="H22" s="5">
        <v>-0.1606290503906915</v>
      </c>
      <c r="I22" s="5">
        <v>0.18375616096392869</v>
      </c>
    </row>
    <row r="23" spans="1:9" x14ac:dyDescent="0.3">
      <c r="A23" s="5" t="s">
        <v>45</v>
      </c>
      <c r="B23" s="5">
        <v>-3.6623113046673199E-4</v>
      </c>
      <c r="C23" s="5">
        <v>4.2002766594642126E-3</v>
      </c>
      <c r="D23" s="5">
        <v>-8.7192144746353076E-2</v>
      </c>
      <c r="E23" s="5">
        <v>0.93208578240190132</v>
      </c>
      <c r="F23" s="5">
        <v>-9.6109777262267451E-3</v>
      </c>
      <c r="G23" s="5">
        <v>8.8785154652932796E-3</v>
      </c>
      <c r="H23" s="5">
        <v>-9.6109777262267451E-3</v>
      </c>
      <c r="I23" s="5">
        <v>8.8785154652932796E-3</v>
      </c>
    </row>
    <row r="24" spans="1:9" x14ac:dyDescent="0.3">
      <c r="A24" s="5" t="s">
        <v>46</v>
      </c>
      <c r="B24" s="5">
        <v>2.947920205919606E-6</v>
      </c>
      <c r="C24" s="5">
        <v>1.2064713743367173E-4</v>
      </c>
      <c r="D24" s="5">
        <v>2.443423249507504E-2</v>
      </c>
      <c r="E24" s="5">
        <v>0.98094386776595721</v>
      </c>
      <c r="F24" s="5">
        <v>-2.6259463889312829E-4</v>
      </c>
      <c r="G24" s="5">
        <v>2.6849047930496749E-4</v>
      </c>
      <c r="H24" s="5">
        <v>-2.6259463889312829E-4</v>
      </c>
      <c r="I24" s="5">
        <v>2.6849047930496749E-4</v>
      </c>
    </row>
    <row r="25" spans="1:9" ht="15" thickBot="1" x14ac:dyDescent="0.35">
      <c r="A25" s="6" t="s">
        <v>48</v>
      </c>
      <c r="B25" s="6">
        <v>5.6459622999445762E-8</v>
      </c>
      <c r="C25" s="6">
        <v>1.4341345457044002E-6</v>
      </c>
      <c r="D25" s="6">
        <v>3.9368428275127168E-2</v>
      </c>
      <c r="E25" s="6">
        <v>0.96930208284377073</v>
      </c>
      <c r="F25" s="6">
        <v>-3.1000492296707028E-6</v>
      </c>
      <c r="G25" s="6">
        <v>3.212968475669594E-6</v>
      </c>
      <c r="H25" s="6">
        <v>-3.1000492296707028E-6</v>
      </c>
      <c r="I25" s="6">
        <v>3.212968475669594E-6</v>
      </c>
    </row>
    <row r="29" spans="1:9" x14ac:dyDescent="0.3">
      <c r="A29" t="s">
        <v>29</v>
      </c>
    </row>
    <row r="30" spans="1:9" ht="15" thickBot="1" x14ac:dyDescent="0.35"/>
    <row r="31" spans="1:9" x14ac:dyDescent="0.3">
      <c r="A31" s="7" t="s">
        <v>30</v>
      </c>
      <c r="B31" s="7" t="s">
        <v>31</v>
      </c>
      <c r="C31" s="7" t="s">
        <v>3</v>
      </c>
    </row>
    <row r="32" spans="1:9" x14ac:dyDescent="0.3">
      <c r="A32" s="5">
        <v>1</v>
      </c>
      <c r="B32" s="5">
        <v>0.35548281573620727</v>
      </c>
      <c r="C32" s="5">
        <v>0.17451718426379276</v>
      </c>
    </row>
    <row r="33" spans="1:3" x14ac:dyDescent="0.3">
      <c r="A33" s="5">
        <v>2</v>
      </c>
      <c r="B33" s="5">
        <v>0.15476624169342831</v>
      </c>
      <c r="C33" s="5">
        <v>-0.79476624169342835</v>
      </c>
    </row>
    <row r="34" spans="1:3" x14ac:dyDescent="0.3">
      <c r="A34" s="5">
        <v>3</v>
      </c>
      <c r="B34" s="5">
        <v>-0.62506093494788151</v>
      </c>
      <c r="C34" s="5">
        <v>0.83506093494788147</v>
      </c>
    </row>
    <row r="35" spans="1:3" x14ac:dyDescent="0.3">
      <c r="A35" s="5">
        <v>4</v>
      </c>
      <c r="B35" s="5">
        <v>-0.6956380554990591</v>
      </c>
      <c r="C35" s="5">
        <v>1.0756380554990592</v>
      </c>
    </row>
    <row r="36" spans="1:3" x14ac:dyDescent="0.3">
      <c r="A36" s="5">
        <v>5</v>
      </c>
      <c r="B36" s="5">
        <v>0.13229747706888884</v>
      </c>
      <c r="C36" s="5">
        <v>-1.9822974770688888</v>
      </c>
    </row>
    <row r="37" spans="1:3" x14ac:dyDescent="0.3">
      <c r="A37" s="5">
        <v>6</v>
      </c>
      <c r="B37" s="5">
        <v>1.525659056211027</v>
      </c>
      <c r="C37" s="5">
        <v>-0.8356590562110271</v>
      </c>
    </row>
    <row r="38" spans="1:3" x14ac:dyDescent="0.3">
      <c r="A38" s="5">
        <v>7</v>
      </c>
      <c r="B38" s="5">
        <v>3.0202841163042229</v>
      </c>
      <c r="C38" s="5">
        <v>2.0897158836957774</v>
      </c>
    </row>
    <row r="39" spans="1:3" x14ac:dyDescent="0.3">
      <c r="A39" s="5">
        <v>8</v>
      </c>
      <c r="B39" s="5">
        <v>4.2518333153873407</v>
      </c>
      <c r="C39" s="5">
        <v>-0.13183331538734055</v>
      </c>
    </row>
    <row r="40" spans="1:3" x14ac:dyDescent="0.3">
      <c r="A40" s="5">
        <v>9</v>
      </c>
      <c r="B40" s="5">
        <v>5.0536936599806204</v>
      </c>
      <c r="C40" s="5">
        <v>1.0363063400193795</v>
      </c>
    </row>
    <row r="41" spans="1:3" x14ac:dyDescent="0.3">
      <c r="A41" s="5">
        <v>10</v>
      </c>
      <c r="B41" s="5">
        <v>5.4515400278168125</v>
      </c>
      <c r="C41" s="5">
        <v>-1.4415400278168127</v>
      </c>
    </row>
    <row r="42" spans="1:3" x14ac:dyDescent="0.3">
      <c r="A42" s="5">
        <v>11</v>
      </c>
      <c r="B42" s="5">
        <v>5.5864859963189719</v>
      </c>
      <c r="C42" s="5">
        <v>-2.7364859963189718</v>
      </c>
    </row>
    <row r="43" spans="1:3" x14ac:dyDescent="0.3">
      <c r="A43" s="5">
        <v>12</v>
      </c>
      <c r="B43" s="5">
        <v>5.6010313366534739</v>
      </c>
      <c r="C43" s="5">
        <v>3.0989686633465254</v>
      </c>
    </row>
    <row r="44" spans="1:3" x14ac:dyDescent="0.3">
      <c r="A44" s="5">
        <v>13</v>
      </c>
      <c r="B44" s="5">
        <v>5.5242899851951037</v>
      </c>
      <c r="C44" s="5">
        <v>0.75571001480489652</v>
      </c>
    </row>
    <row r="45" spans="1:3" x14ac:dyDescent="0.3">
      <c r="A45" s="5">
        <v>14</v>
      </c>
      <c r="B45" s="5">
        <v>5.1952587562276165</v>
      </c>
      <c r="C45" s="5">
        <v>-0.88525875622761685</v>
      </c>
    </row>
    <row r="46" spans="1:3" x14ac:dyDescent="0.3">
      <c r="A46" s="5">
        <v>15</v>
      </c>
      <c r="B46" s="5">
        <v>4.2651635117191518</v>
      </c>
      <c r="C46" s="5">
        <v>0.49483648828084803</v>
      </c>
    </row>
    <row r="47" spans="1:3" x14ac:dyDescent="0.3">
      <c r="A47" s="5">
        <v>16</v>
      </c>
      <c r="B47" s="5">
        <v>2.3221959559995753</v>
      </c>
      <c r="C47" s="5">
        <v>-3.1421959559995751</v>
      </c>
    </row>
    <row r="48" spans="1:3" x14ac:dyDescent="0.3">
      <c r="A48" s="5">
        <v>17</v>
      </c>
      <c r="B48" s="5">
        <v>-0.81576932484966846</v>
      </c>
      <c r="C48" s="5">
        <v>3.8857693248496683</v>
      </c>
    </row>
    <row r="49" spans="1:3" x14ac:dyDescent="0.3">
      <c r="A49" s="5">
        <v>18</v>
      </c>
      <c r="B49" s="5">
        <v>-4.5926115070250262</v>
      </c>
      <c r="C49" s="5">
        <v>-1.7273884929749741</v>
      </c>
    </row>
    <row r="50" spans="1:3" x14ac:dyDescent="0.3">
      <c r="A50" s="5">
        <v>19</v>
      </c>
      <c r="B50" s="5">
        <v>-6.9394113326736715</v>
      </c>
      <c r="C50" s="5">
        <v>0.19941133267367128</v>
      </c>
    </row>
    <row r="51" spans="1:3" ht="15" thickBot="1" x14ac:dyDescent="0.35">
      <c r="A51" s="6">
        <v>20</v>
      </c>
      <c r="B51" s="6">
        <v>-3.1814910973082533</v>
      </c>
      <c r="C51" s="6">
        <v>3.1491097308253391E-2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0D6C7-9BA4-4287-B818-16D226E9CFA1}">
  <dimension ref="A1:I92"/>
  <sheetViews>
    <sheetView topLeftCell="A64" zoomScale="85" zoomScaleNormal="85" workbookViewId="0">
      <selection activeCell="B73" sqref="B73:B92"/>
    </sheetView>
  </sheetViews>
  <sheetFormatPr defaultRowHeight="14.4" x14ac:dyDescent="0.3"/>
  <cols>
    <col min="1" max="1" width="26.33203125" bestFit="1" customWidth="1"/>
    <col min="2" max="2" width="17.109375" bestFit="1" customWidth="1"/>
    <col min="3" max="3" width="23.33203125" bestFit="1" customWidth="1"/>
    <col min="4" max="4" width="15.5546875" bestFit="1" customWidth="1"/>
    <col min="5" max="5" width="12" bestFit="1" customWidth="1"/>
    <col min="6" max="6" width="14.6640625" bestFit="1" customWidth="1"/>
    <col min="7" max="7" width="13.109375" bestFit="1" customWidth="1"/>
    <col min="8" max="8" width="14.6640625" bestFit="1" customWidth="1"/>
    <col min="9" max="9" width="14.88671875" bestFit="1" customWidth="1"/>
  </cols>
  <sheetData>
    <row r="1" spans="1:9" x14ac:dyDescent="0.3">
      <c r="A1" t="s">
        <v>4</v>
      </c>
    </row>
    <row r="2" spans="1:9" ht="15" thickBot="1" x14ac:dyDescent="0.35"/>
    <row r="3" spans="1:9" x14ac:dyDescent="0.3">
      <c r="A3" s="8" t="s">
        <v>5</v>
      </c>
      <c r="B3" s="8"/>
    </row>
    <row r="4" spans="1:9" x14ac:dyDescent="0.3">
      <c r="A4" s="5" t="s">
        <v>6</v>
      </c>
      <c r="B4" s="5">
        <v>0.89933164041123703</v>
      </c>
    </row>
    <row r="5" spans="1:9" x14ac:dyDescent="0.3">
      <c r="A5" s="5" t="s">
        <v>7</v>
      </c>
      <c r="B5" s="5">
        <v>0.80879739944476658</v>
      </c>
    </row>
    <row r="6" spans="1:9" ht="15" thickBot="1" x14ac:dyDescent="0.35">
      <c r="A6" s="5" t="s">
        <v>8</v>
      </c>
      <c r="B6" s="5">
        <v>0.69726254912088048</v>
      </c>
      <c r="D6" s="1"/>
    </row>
    <row r="7" spans="1:9" ht="15" thickBot="1" x14ac:dyDescent="0.35">
      <c r="A7" s="5" t="s">
        <v>9</v>
      </c>
      <c r="B7" s="18">
        <v>2.2615997879267278</v>
      </c>
    </row>
    <row r="8" spans="1:9" ht="15" thickBot="1" x14ac:dyDescent="0.35">
      <c r="A8" s="6" t="s">
        <v>10</v>
      </c>
      <c r="B8" s="6">
        <v>20</v>
      </c>
    </row>
    <row r="10" spans="1:9" ht="15" thickBot="1" x14ac:dyDescent="0.35">
      <c r="A10" t="s">
        <v>11</v>
      </c>
    </row>
    <row r="11" spans="1:9" x14ac:dyDescent="0.3">
      <c r="A11" s="7"/>
      <c r="B11" s="7" t="s">
        <v>16</v>
      </c>
      <c r="C11" s="7" t="s">
        <v>17</v>
      </c>
      <c r="D11" s="7" t="s">
        <v>18</v>
      </c>
      <c r="E11" s="7" t="s">
        <v>19</v>
      </c>
      <c r="F11" s="7" t="s">
        <v>20</v>
      </c>
    </row>
    <row r="12" spans="1:9" x14ac:dyDescent="0.3">
      <c r="A12" s="5" t="s">
        <v>12</v>
      </c>
      <c r="B12" s="5">
        <v>7</v>
      </c>
      <c r="C12" s="5">
        <v>259.63229179099733</v>
      </c>
      <c r="D12" s="5">
        <v>37.090327398713903</v>
      </c>
      <c r="E12" s="5">
        <v>7.2515218077228694</v>
      </c>
      <c r="F12" s="5">
        <v>1.5594931558002819E-3</v>
      </c>
    </row>
    <row r="13" spans="1:9" x14ac:dyDescent="0.3">
      <c r="A13" s="5" t="s">
        <v>13</v>
      </c>
      <c r="B13" s="5">
        <v>12</v>
      </c>
      <c r="C13" s="5">
        <v>61.378003209002635</v>
      </c>
      <c r="D13" s="5">
        <v>5.1148336007502193</v>
      </c>
      <c r="E13" s="5"/>
      <c r="F13" s="5"/>
    </row>
    <row r="14" spans="1:9" ht="15" thickBot="1" x14ac:dyDescent="0.35">
      <c r="A14" s="6" t="s">
        <v>14</v>
      </c>
      <c r="B14" s="6">
        <v>19</v>
      </c>
      <c r="C14" s="6">
        <v>321.01029499999999</v>
      </c>
      <c r="D14" s="6"/>
      <c r="E14" s="6"/>
      <c r="F14" s="6"/>
    </row>
    <row r="15" spans="1:9" ht="15" thickBot="1" x14ac:dyDescent="0.35"/>
    <row r="16" spans="1:9" x14ac:dyDescent="0.3">
      <c r="A16" s="7"/>
      <c r="B16" s="7" t="s">
        <v>21</v>
      </c>
      <c r="C16" s="7" t="s">
        <v>9</v>
      </c>
      <c r="D16" s="7" t="s">
        <v>22</v>
      </c>
      <c r="E16" s="7" t="s">
        <v>23</v>
      </c>
      <c r="F16" s="7" t="s">
        <v>24</v>
      </c>
      <c r="G16" s="7" t="s">
        <v>25</v>
      </c>
      <c r="H16" s="7" t="s">
        <v>26</v>
      </c>
      <c r="I16" s="7" t="s">
        <v>27</v>
      </c>
    </row>
    <row r="17" spans="1:9" x14ac:dyDescent="0.3">
      <c r="A17" s="5" t="s">
        <v>15</v>
      </c>
      <c r="B17" s="12">
        <v>-5.3813590245614815</v>
      </c>
      <c r="C17" s="12">
        <v>6.3050095688433845E-6</v>
      </c>
      <c r="D17" s="5">
        <v>-0.34035110452203521</v>
      </c>
      <c r="E17" s="5">
        <v>0.7394760565118399</v>
      </c>
      <c r="F17" s="5">
        <v>-27.720577265567091</v>
      </c>
      <c r="G17" s="5">
        <v>20.230211940564505</v>
      </c>
      <c r="H17" s="5">
        <v>-27.720577265567091</v>
      </c>
      <c r="I17" s="5">
        <v>20.230211940564505</v>
      </c>
    </row>
    <row r="18" spans="1:9" x14ac:dyDescent="0.3">
      <c r="A18" s="5" t="s">
        <v>28</v>
      </c>
      <c r="B18" s="12">
        <v>-3.7451826625012927</v>
      </c>
      <c r="C18" s="12">
        <v>4.6436299165727801E-4</v>
      </c>
      <c r="D18" s="5">
        <v>0.52244535694225336</v>
      </c>
      <c r="E18" s="5">
        <v>0.61086985409463423</v>
      </c>
      <c r="F18" s="5">
        <v>-25.881327617603525</v>
      </c>
      <c r="G18" s="5">
        <v>42.208114599327125</v>
      </c>
      <c r="H18" s="5">
        <v>-25.881327617603525</v>
      </c>
      <c r="I18" s="5">
        <v>42.208114599327125</v>
      </c>
    </row>
    <row r="19" spans="1:9" x14ac:dyDescent="0.3">
      <c r="A19" s="5" t="s">
        <v>35</v>
      </c>
      <c r="B19" s="12">
        <v>-0.20345140777078519</v>
      </c>
      <c r="C19" s="12">
        <v>1.3743564124908077E-2</v>
      </c>
      <c r="D19" s="5">
        <v>-0.71032927974699189</v>
      </c>
      <c r="E19" s="5">
        <v>0.49107468638656859</v>
      </c>
      <c r="F19" s="5">
        <v>-21.887751789247076</v>
      </c>
      <c r="G19" s="5">
        <v>11.125033740124115</v>
      </c>
      <c r="H19" s="5">
        <v>-21.887751789247076</v>
      </c>
      <c r="I19" s="5">
        <v>11.125033740124115</v>
      </c>
    </row>
    <row r="20" spans="1:9" x14ac:dyDescent="0.3">
      <c r="A20" s="5" t="s">
        <v>36</v>
      </c>
      <c r="B20" s="12">
        <v>-5.3048346569634791E-4</v>
      </c>
      <c r="C20" s="12">
        <v>0.20895044687560591</v>
      </c>
      <c r="D20" s="5">
        <v>0.8644843721479647</v>
      </c>
      <c r="E20" s="5">
        <v>0.40427184316722464</v>
      </c>
      <c r="F20" s="5">
        <v>-2.2724001883667224</v>
      </c>
      <c r="G20" s="5">
        <v>5.2616901772891911</v>
      </c>
      <c r="H20" s="5">
        <v>-2.2724001883667224</v>
      </c>
      <c r="I20" s="5">
        <v>5.2616901772891911</v>
      </c>
    </row>
    <row r="21" spans="1:9" x14ac:dyDescent="0.3">
      <c r="A21" s="5" t="s">
        <v>40</v>
      </c>
      <c r="B21" s="12">
        <v>7.6905285378685069E-6</v>
      </c>
      <c r="C21" s="12">
        <v>1.7289439145643823</v>
      </c>
      <c r="D21" s="5">
        <v>-0.97368256834552525</v>
      </c>
      <c r="E21" s="5">
        <v>0.34943351340332895</v>
      </c>
      <c r="F21" s="5">
        <v>-0.65871532218805595</v>
      </c>
      <c r="G21" s="5">
        <v>0.25181250664648563</v>
      </c>
      <c r="H21" s="5">
        <v>-0.65871532218805595</v>
      </c>
      <c r="I21" s="5">
        <v>0.25181250664648563</v>
      </c>
    </row>
    <row r="22" spans="1:9" x14ac:dyDescent="0.3">
      <c r="A22" s="5" t="s">
        <v>42</v>
      </c>
      <c r="B22" s="12">
        <v>1.4591236445725356E-2</v>
      </c>
      <c r="C22" s="12">
        <v>7.5758654162168808</v>
      </c>
      <c r="D22" s="5">
        <v>1.0616777651789033</v>
      </c>
      <c r="E22" s="5">
        <v>0.30928227005175668</v>
      </c>
      <c r="F22" s="5">
        <v>-1.5353417394978617E-2</v>
      </c>
      <c r="G22" s="5">
        <v>4.4535890286429333E-2</v>
      </c>
      <c r="H22" s="5">
        <v>-1.5353417394978617E-2</v>
      </c>
      <c r="I22" s="5">
        <v>4.4535890286429333E-2</v>
      </c>
    </row>
    <row r="23" spans="1:9" x14ac:dyDescent="0.3">
      <c r="A23" s="5" t="s">
        <v>45</v>
      </c>
      <c r="B23" s="12">
        <v>1.4946449944612343</v>
      </c>
      <c r="C23" s="12">
        <v>11.00387985448368</v>
      </c>
      <c r="D23" s="5">
        <v>-1.1423896288614446</v>
      </c>
      <c r="E23" s="5">
        <v>0.27557397041474863</v>
      </c>
      <c r="F23" s="5">
        <v>-1.5422435095418813E-3</v>
      </c>
      <c r="G23" s="5">
        <v>4.8127657814918564E-4</v>
      </c>
      <c r="H23" s="5">
        <v>-1.5422435095418813E-3</v>
      </c>
      <c r="I23" s="5">
        <v>4.8127657814918564E-4</v>
      </c>
    </row>
    <row r="24" spans="1:9" ht="15" thickBot="1" x14ac:dyDescent="0.35">
      <c r="A24" s="6" t="s">
        <v>46</v>
      </c>
      <c r="B24" s="12">
        <v>8.1633934908618002</v>
      </c>
      <c r="C24" s="12">
        <v>15.625353699457056</v>
      </c>
      <c r="D24" s="6">
        <v>1.2197489082128843</v>
      </c>
      <c r="E24" s="6">
        <v>0.24599109296769081</v>
      </c>
      <c r="F24" s="6">
        <v>-6.0469072019020992E-6</v>
      </c>
      <c r="G24" s="6">
        <v>2.1427964277639111E-5</v>
      </c>
      <c r="H24" s="6">
        <v>-6.0469072019020992E-6</v>
      </c>
      <c r="I24" s="6">
        <v>2.1427964277639111E-5</v>
      </c>
    </row>
    <row r="28" spans="1:9" x14ac:dyDescent="0.3">
      <c r="A28" t="s">
        <v>29</v>
      </c>
    </row>
    <row r="29" spans="1:9" ht="15" thickBot="1" x14ac:dyDescent="0.35"/>
    <row r="30" spans="1:9" x14ac:dyDescent="0.3">
      <c r="A30" s="7" t="s">
        <v>30</v>
      </c>
      <c r="B30" s="7" t="s">
        <v>31</v>
      </c>
      <c r="C30" s="7" t="s">
        <v>3</v>
      </c>
    </row>
    <row r="31" spans="1:9" x14ac:dyDescent="0.3">
      <c r="A31" s="5">
        <v>1</v>
      </c>
      <c r="B31" s="5">
        <v>0.34211383399804202</v>
      </c>
      <c r="C31" s="5">
        <v>0.18788616600195801</v>
      </c>
    </row>
    <row r="32" spans="1:9" x14ac:dyDescent="0.3">
      <c r="A32" s="5">
        <v>2</v>
      </c>
      <c r="B32" s="5">
        <v>0.19205866444518563</v>
      </c>
      <c r="C32" s="5">
        <v>-0.83205866444518561</v>
      </c>
    </row>
    <row r="33" spans="1:3" x14ac:dyDescent="0.3">
      <c r="A33" s="5">
        <v>3</v>
      </c>
      <c r="B33" s="5">
        <v>-0.63561539421855673</v>
      </c>
      <c r="C33" s="5">
        <v>0.84561539421855669</v>
      </c>
    </row>
    <row r="34" spans="1:3" x14ac:dyDescent="0.3">
      <c r="A34" s="5">
        <v>4</v>
      </c>
      <c r="B34" s="5">
        <v>-0.72506637134484508</v>
      </c>
      <c r="C34" s="5">
        <v>1.105066371344845</v>
      </c>
    </row>
    <row r="35" spans="1:3" x14ac:dyDescent="0.3">
      <c r="A35" s="5">
        <v>5</v>
      </c>
      <c r="B35" s="5">
        <v>0.12093591209149734</v>
      </c>
      <c r="C35" s="5">
        <v>-1.9709359120914973</v>
      </c>
    </row>
    <row r="36" spans="1:3" x14ac:dyDescent="0.3">
      <c r="A36" s="5">
        <v>6</v>
      </c>
      <c r="B36" s="5">
        <v>1.5406215543535242</v>
      </c>
      <c r="C36" s="5">
        <v>-0.85062155435352427</v>
      </c>
    </row>
    <row r="37" spans="1:3" x14ac:dyDescent="0.3">
      <c r="A37" s="5">
        <v>7</v>
      </c>
      <c r="B37" s="5">
        <v>3.0459252438250424</v>
      </c>
      <c r="C37" s="5">
        <v>2.0640747561749579</v>
      </c>
    </row>
    <row r="38" spans="1:3" x14ac:dyDescent="0.3">
      <c r="A38" s="5">
        <v>8</v>
      </c>
      <c r="B38" s="5">
        <v>4.2670441537472144</v>
      </c>
      <c r="C38" s="5">
        <v>-0.14704415374721425</v>
      </c>
    </row>
    <row r="39" spans="1:3" x14ac:dyDescent="0.3">
      <c r="A39" s="5">
        <v>9</v>
      </c>
      <c r="B39" s="5">
        <v>5.0476093246372997</v>
      </c>
      <c r="C39" s="5">
        <v>1.0423906753627001</v>
      </c>
    </row>
    <row r="40" spans="1:3" x14ac:dyDescent="0.3">
      <c r="A40" s="5">
        <v>10</v>
      </c>
      <c r="B40" s="5">
        <v>5.4292307982238555</v>
      </c>
      <c r="C40" s="5">
        <v>-1.4192307982238557</v>
      </c>
    </row>
    <row r="41" spans="1:3" x14ac:dyDescent="0.3">
      <c r="A41" s="5">
        <v>11</v>
      </c>
      <c r="B41" s="5">
        <v>5.5641767667261206</v>
      </c>
      <c r="C41" s="5">
        <v>-2.7141767667261205</v>
      </c>
    </row>
    <row r="42" spans="1:3" x14ac:dyDescent="0.3">
      <c r="A42" s="5">
        <v>12</v>
      </c>
      <c r="B42" s="5">
        <v>5.5949470013114819</v>
      </c>
      <c r="C42" s="5">
        <v>3.1050529986885174</v>
      </c>
    </row>
    <row r="43" spans="1:3" x14ac:dyDescent="0.3">
      <c r="A43" s="5">
        <v>13</v>
      </c>
      <c r="B43" s="5">
        <v>5.5395008235568639</v>
      </c>
      <c r="C43" s="5">
        <v>0.74049917644313634</v>
      </c>
    </row>
    <row r="44" spans="1:3" x14ac:dyDescent="0.3">
      <c r="A44" s="5">
        <v>14</v>
      </c>
      <c r="B44" s="5">
        <v>5.2208998837490981</v>
      </c>
      <c r="C44" s="5">
        <v>-0.91089988374909847</v>
      </c>
    </row>
    <row r="45" spans="1:3" x14ac:dyDescent="0.3">
      <c r="A45" s="5">
        <v>15</v>
      </c>
      <c r="B45" s="5">
        <v>4.2801260098642615</v>
      </c>
      <c r="C45" s="5">
        <v>0.47987399013573828</v>
      </c>
    </row>
    <row r="46" spans="1:3" x14ac:dyDescent="0.3">
      <c r="A46" s="5">
        <v>16</v>
      </c>
      <c r="B46" s="5">
        <v>2.3108343910234908</v>
      </c>
      <c r="C46" s="5">
        <v>-3.1308343910234906</v>
      </c>
    </row>
    <row r="47" spans="1:3" x14ac:dyDescent="0.3">
      <c r="A47" s="5">
        <v>17</v>
      </c>
      <c r="B47" s="5">
        <v>-0.84519764069318626</v>
      </c>
      <c r="C47" s="5">
        <v>3.9151976406931861</v>
      </c>
    </row>
    <row r="48" spans="1:3" x14ac:dyDescent="0.3">
      <c r="A48" s="5">
        <v>18</v>
      </c>
      <c r="B48" s="5">
        <v>-4.6031659662976381</v>
      </c>
      <c r="C48" s="5">
        <v>-1.7168340337023622</v>
      </c>
    </row>
    <row r="49" spans="1:3" x14ac:dyDescent="0.3">
      <c r="A49" s="5">
        <v>19</v>
      </c>
      <c r="B49" s="5">
        <v>-6.9021189099203184</v>
      </c>
      <c r="C49" s="5">
        <v>0.16211890992031819</v>
      </c>
    </row>
    <row r="50" spans="1:3" ht="15" thickBot="1" x14ac:dyDescent="0.35">
      <c r="A50" s="6">
        <v>20</v>
      </c>
      <c r="B50" s="6">
        <v>-3.1948600790547061</v>
      </c>
      <c r="C50" s="6">
        <v>4.4860079054706237E-2</v>
      </c>
    </row>
    <row r="73" spans="1:2" x14ac:dyDescent="0.3">
      <c r="A73" s="5">
        <v>0.34211383399804202</v>
      </c>
      <c r="B73">
        <f>A73+1</f>
        <v>1.3421138339980421</v>
      </c>
    </row>
    <row r="74" spans="1:2" x14ac:dyDescent="0.3">
      <c r="A74" s="5">
        <v>0.19205866444518563</v>
      </c>
      <c r="B74" s="26">
        <f t="shared" ref="B74:B92" si="0">A74+1</f>
        <v>1.1920586644451856</v>
      </c>
    </row>
    <row r="75" spans="1:2" x14ac:dyDescent="0.3">
      <c r="A75" s="5">
        <v>-0.63561539421855673</v>
      </c>
      <c r="B75" s="26">
        <f t="shared" si="0"/>
        <v>0.36438460578144327</v>
      </c>
    </row>
    <row r="76" spans="1:2" x14ac:dyDescent="0.3">
      <c r="A76" s="5">
        <v>-0.72506637134484508</v>
      </c>
      <c r="B76" s="26">
        <f t="shared" si="0"/>
        <v>0.27493362865515492</v>
      </c>
    </row>
    <row r="77" spans="1:2" x14ac:dyDescent="0.3">
      <c r="A77" s="5">
        <v>0.12093591209149734</v>
      </c>
      <c r="B77" s="26">
        <f t="shared" si="0"/>
        <v>1.1209359120914972</v>
      </c>
    </row>
    <row r="78" spans="1:2" x14ac:dyDescent="0.3">
      <c r="A78" s="5">
        <v>1.5406215543535242</v>
      </c>
      <c r="B78" s="26">
        <f t="shared" si="0"/>
        <v>2.5406215543535242</v>
      </c>
    </row>
    <row r="79" spans="1:2" x14ac:dyDescent="0.3">
      <c r="A79" s="5">
        <v>3.0459252438250424</v>
      </c>
      <c r="B79" s="26">
        <f t="shared" si="0"/>
        <v>4.0459252438250424</v>
      </c>
    </row>
    <row r="80" spans="1:2" x14ac:dyDescent="0.3">
      <c r="A80" s="5">
        <v>4.2670441537472144</v>
      </c>
      <c r="B80" s="26">
        <f t="shared" si="0"/>
        <v>5.2670441537472144</v>
      </c>
    </row>
    <row r="81" spans="1:2" x14ac:dyDescent="0.3">
      <c r="A81" s="5">
        <v>5.0476093246372997</v>
      </c>
      <c r="B81" s="26">
        <f t="shared" si="0"/>
        <v>6.0476093246372997</v>
      </c>
    </row>
    <row r="82" spans="1:2" x14ac:dyDescent="0.3">
      <c r="A82" s="5">
        <v>5.4292307982238555</v>
      </c>
      <c r="B82" s="26">
        <f t="shared" si="0"/>
        <v>6.4292307982238555</v>
      </c>
    </row>
    <row r="83" spans="1:2" x14ac:dyDescent="0.3">
      <c r="A83" s="5">
        <v>5.5641767667261206</v>
      </c>
      <c r="B83" s="26">
        <f t="shared" si="0"/>
        <v>6.5641767667261206</v>
      </c>
    </row>
    <row r="84" spans="1:2" x14ac:dyDescent="0.3">
      <c r="A84" s="5">
        <v>5.5949470013114819</v>
      </c>
      <c r="B84" s="26">
        <f t="shared" si="0"/>
        <v>6.5949470013114819</v>
      </c>
    </row>
    <row r="85" spans="1:2" x14ac:dyDescent="0.3">
      <c r="A85" s="5">
        <v>5.5395008235568639</v>
      </c>
      <c r="B85" s="26">
        <f t="shared" si="0"/>
        <v>6.5395008235568639</v>
      </c>
    </row>
    <row r="86" spans="1:2" x14ac:dyDescent="0.3">
      <c r="A86" s="5">
        <v>5.2208998837490981</v>
      </c>
      <c r="B86" s="26">
        <f t="shared" si="0"/>
        <v>6.2208998837490981</v>
      </c>
    </row>
    <row r="87" spans="1:2" x14ac:dyDescent="0.3">
      <c r="A87" s="5">
        <v>4.2801260098642615</v>
      </c>
      <c r="B87" s="26">
        <f t="shared" si="0"/>
        <v>5.2801260098642615</v>
      </c>
    </row>
    <row r="88" spans="1:2" x14ac:dyDescent="0.3">
      <c r="A88" s="5">
        <v>2.3108343910234908</v>
      </c>
      <c r="B88" s="26">
        <f t="shared" si="0"/>
        <v>3.3108343910234908</v>
      </c>
    </row>
    <row r="89" spans="1:2" x14ac:dyDescent="0.3">
      <c r="A89" s="5">
        <v>-0.84519764069318626</v>
      </c>
      <c r="B89" s="26">
        <f t="shared" si="0"/>
        <v>0.15480235930681374</v>
      </c>
    </row>
    <row r="90" spans="1:2" x14ac:dyDescent="0.3">
      <c r="A90" s="5">
        <v>-4.6031659662976381</v>
      </c>
      <c r="B90" s="26">
        <f t="shared" si="0"/>
        <v>-3.6031659662976381</v>
      </c>
    </row>
    <row r="91" spans="1:2" x14ac:dyDescent="0.3">
      <c r="A91" s="5">
        <v>-6.9021189099203184</v>
      </c>
      <c r="B91" s="26">
        <f t="shared" si="0"/>
        <v>-5.9021189099203184</v>
      </c>
    </row>
    <row r="92" spans="1:2" ht="15" thickBot="1" x14ac:dyDescent="0.35">
      <c r="A92" s="6">
        <v>-3.1948600790547061</v>
      </c>
      <c r="B92" s="26">
        <f t="shared" si="0"/>
        <v>-2.1948600790547061</v>
      </c>
    </row>
  </sheetData>
  <sortState xmlns:xlrd2="http://schemas.microsoft.com/office/spreadsheetml/2017/richdata2" ref="C17:C24">
    <sortCondition ref="C17"/>
  </sortState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4A40-3E59-4FDE-8017-B9B4D8EA7E19}">
  <dimension ref="A2:S112"/>
  <sheetViews>
    <sheetView tabSelected="1" topLeftCell="B84" zoomScale="115" zoomScaleNormal="115" workbookViewId="0">
      <selection activeCell="G87" sqref="G87"/>
    </sheetView>
  </sheetViews>
  <sheetFormatPr defaultRowHeight="14.4" x14ac:dyDescent="0.3"/>
  <cols>
    <col min="1" max="1" width="15.109375" customWidth="1"/>
    <col min="2" max="2" width="11.109375" customWidth="1"/>
    <col min="3" max="3" width="11.44140625" customWidth="1"/>
    <col min="4" max="4" width="27.88671875" customWidth="1"/>
    <col min="5" max="5" width="11.88671875" customWidth="1"/>
    <col min="6" max="6" width="13.109375" customWidth="1"/>
    <col min="7" max="7" width="11" customWidth="1"/>
    <col min="9" max="9" width="14.33203125" customWidth="1"/>
    <col min="10" max="10" width="9.88671875" customWidth="1"/>
    <col min="13" max="13" width="16.5546875" customWidth="1"/>
    <col min="19" max="19" width="11.5546875" customWidth="1"/>
  </cols>
  <sheetData>
    <row r="2" spans="1:14" ht="15.6" x14ac:dyDescent="0.3">
      <c r="A2" s="10" t="s">
        <v>2</v>
      </c>
      <c r="B2" s="11">
        <v>2</v>
      </c>
    </row>
    <row r="4" spans="1:14" ht="15" thickBot="1" x14ac:dyDescent="0.35">
      <c r="A4" s="11" t="s">
        <v>0</v>
      </c>
      <c r="B4" s="11" t="s">
        <v>1</v>
      </c>
      <c r="C4" s="19" t="s">
        <v>32</v>
      </c>
      <c r="D4" s="19" t="s">
        <v>33</v>
      </c>
      <c r="E4" s="19" t="s">
        <v>34</v>
      </c>
      <c r="F4" s="19" t="s">
        <v>37</v>
      </c>
      <c r="G4" s="19" t="s">
        <v>41</v>
      </c>
      <c r="H4" s="19" t="s">
        <v>44</v>
      </c>
      <c r="I4" s="19" t="s">
        <v>43</v>
      </c>
      <c r="J4" s="11" t="s">
        <v>47</v>
      </c>
      <c r="L4" s="11" t="s">
        <v>38</v>
      </c>
      <c r="M4" s="11" t="s">
        <v>39</v>
      </c>
      <c r="N4" s="11" t="s">
        <v>32</v>
      </c>
    </row>
    <row r="5" spans="1:14" ht="15" thickTop="1" x14ac:dyDescent="0.3">
      <c r="A5" s="9">
        <v>1</v>
      </c>
      <c r="B5" s="25">
        <v>0.53</v>
      </c>
      <c r="C5" s="27">
        <f>A5</f>
        <v>1</v>
      </c>
      <c r="D5" s="28">
        <f>A5^2</f>
        <v>1</v>
      </c>
      <c r="E5" s="28">
        <f>A5^3</f>
        <v>1</v>
      </c>
      <c r="F5" s="28">
        <f>A5^4</f>
        <v>1</v>
      </c>
      <c r="G5" s="28">
        <f>A5^5</f>
        <v>1</v>
      </c>
      <c r="H5" s="28">
        <f>A5^6</f>
        <v>1</v>
      </c>
      <c r="I5" s="29">
        <f t="shared" ref="I5:I24" si="0">A5^7</f>
        <v>1</v>
      </c>
      <c r="J5" s="23">
        <f>A5^8</f>
        <v>1</v>
      </c>
      <c r="L5" s="2">
        <f t="shared" ref="L5:L24" si="1">COS(2*PI()*A5*0.1)</f>
        <v>0.80901699437494745</v>
      </c>
      <c r="M5" s="2">
        <f t="shared" ref="M5:M24" si="2">SIN(2*PI()*A5*0.1)</f>
        <v>0.58778525229247314</v>
      </c>
      <c r="N5" s="2">
        <v>1</v>
      </c>
    </row>
    <row r="6" spans="1:14" x14ac:dyDescent="0.3">
      <c r="A6" s="9">
        <v>2</v>
      </c>
      <c r="B6" s="25">
        <v>-0.64</v>
      </c>
      <c r="C6" s="30">
        <f t="shared" ref="C6:C24" si="3">A6</f>
        <v>2</v>
      </c>
      <c r="D6" s="2">
        <f t="shared" ref="D6:D24" si="4">A6^2</f>
        <v>4</v>
      </c>
      <c r="E6" s="2">
        <f>A6^3</f>
        <v>8</v>
      </c>
      <c r="F6" s="2">
        <f t="shared" ref="F6:F24" si="5">A6^4</f>
        <v>16</v>
      </c>
      <c r="G6" s="2">
        <f t="shared" ref="G6:G24" si="6">A6^5</f>
        <v>32</v>
      </c>
      <c r="H6" s="2">
        <f t="shared" ref="H6:H24" si="7">A6^6</f>
        <v>64</v>
      </c>
      <c r="I6" s="31">
        <f t="shared" si="0"/>
        <v>128</v>
      </c>
      <c r="J6" s="23">
        <f t="shared" ref="J6:J24" si="8">A6^8</f>
        <v>256</v>
      </c>
      <c r="L6" s="2">
        <f t="shared" si="1"/>
        <v>0.30901699437494745</v>
      </c>
      <c r="M6" s="2">
        <f t="shared" si="2"/>
        <v>0.95105651629515353</v>
      </c>
      <c r="N6" s="2">
        <v>2</v>
      </c>
    </row>
    <row r="7" spans="1:14" x14ac:dyDescent="0.3">
      <c r="A7" s="9">
        <v>3</v>
      </c>
      <c r="B7" s="25">
        <v>0.21</v>
      </c>
      <c r="C7" s="30">
        <f t="shared" si="3"/>
        <v>3</v>
      </c>
      <c r="D7" s="2">
        <f t="shared" si="4"/>
        <v>9</v>
      </c>
      <c r="E7" s="2">
        <f t="shared" ref="E7:E24" si="9">A7^3</f>
        <v>27</v>
      </c>
      <c r="F7" s="2">
        <f t="shared" si="5"/>
        <v>81</v>
      </c>
      <c r="G7" s="2">
        <f t="shared" si="6"/>
        <v>243</v>
      </c>
      <c r="H7" s="2">
        <f t="shared" si="7"/>
        <v>729</v>
      </c>
      <c r="I7" s="31">
        <f t="shared" si="0"/>
        <v>2187</v>
      </c>
      <c r="J7" s="23">
        <f t="shared" si="8"/>
        <v>6561</v>
      </c>
      <c r="L7" s="2">
        <f t="shared" si="1"/>
        <v>-0.30901699437494734</v>
      </c>
      <c r="M7" s="2">
        <f t="shared" si="2"/>
        <v>0.95105651629515364</v>
      </c>
      <c r="N7" s="2">
        <v>3</v>
      </c>
    </row>
    <row r="8" spans="1:14" x14ac:dyDescent="0.3">
      <c r="A8" s="9">
        <v>4</v>
      </c>
      <c r="B8" s="25">
        <v>0.38</v>
      </c>
      <c r="C8" s="30">
        <f t="shared" si="3"/>
        <v>4</v>
      </c>
      <c r="D8" s="2">
        <f t="shared" si="4"/>
        <v>16</v>
      </c>
      <c r="E8" s="2">
        <f t="shared" si="9"/>
        <v>64</v>
      </c>
      <c r="F8" s="2">
        <f t="shared" si="5"/>
        <v>256</v>
      </c>
      <c r="G8" s="2">
        <f t="shared" si="6"/>
        <v>1024</v>
      </c>
      <c r="H8" s="2">
        <f t="shared" si="7"/>
        <v>4096</v>
      </c>
      <c r="I8" s="31">
        <f t="shared" si="0"/>
        <v>16384</v>
      </c>
      <c r="J8" s="23">
        <f t="shared" si="8"/>
        <v>65536</v>
      </c>
      <c r="L8" s="2">
        <f t="shared" si="1"/>
        <v>-0.80901699437494734</v>
      </c>
      <c r="M8" s="2">
        <f t="shared" si="2"/>
        <v>0.58778525229247325</v>
      </c>
      <c r="N8" s="2">
        <v>4</v>
      </c>
    </row>
    <row r="9" spans="1:14" x14ac:dyDescent="0.3">
      <c r="A9" s="9">
        <v>5</v>
      </c>
      <c r="B9" s="25">
        <v>-1.85</v>
      </c>
      <c r="C9" s="30">
        <f t="shared" si="3"/>
        <v>5</v>
      </c>
      <c r="D9" s="2">
        <f t="shared" si="4"/>
        <v>25</v>
      </c>
      <c r="E9" s="2">
        <f t="shared" si="9"/>
        <v>125</v>
      </c>
      <c r="F9" s="2">
        <f t="shared" si="5"/>
        <v>625</v>
      </c>
      <c r="G9" s="2">
        <f t="shared" si="6"/>
        <v>3125</v>
      </c>
      <c r="H9" s="2">
        <f t="shared" si="7"/>
        <v>15625</v>
      </c>
      <c r="I9" s="31">
        <f t="shared" si="0"/>
        <v>78125</v>
      </c>
      <c r="J9" s="23">
        <f t="shared" si="8"/>
        <v>390625</v>
      </c>
      <c r="L9" s="2">
        <f t="shared" si="1"/>
        <v>-1</v>
      </c>
      <c r="M9" s="2">
        <f t="shared" si="2"/>
        <v>1.22514845490862E-16</v>
      </c>
      <c r="N9" s="2">
        <v>5</v>
      </c>
    </row>
    <row r="10" spans="1:14" x14ac:dyDescent="0.3">
      <c r="A10" s="9">
        <v>6</v>
      </c>
      <c r="B10" s="25">
        <v>0.69</v>
      </c>
      <c r="C10" s="30">
        <f t="shared" si="3"/>
        <v>6</v>
      </c>
      <c r="D10" s="2">
        <f t="shared" si="4"/>
        <v>36</v>
      </c>
      <c r="E10" s="2">
        <f t="shared" si="9"/>
        <v>216</v>
      </c>
      <c r="F10" s="2">
        <f t="shared" si="5"/>
        <v>1296</v>
      </c>
      <c r="G10" s="2">
        <f t="shared" si="6"/>
        <v>7776</v>
      </c>
      <c r="H10" s="2">
        <f t="shared" si="7"/>
        <v>46656</v>
      </c>
      <c r="I10" s="31">
        <f t="shared" si="0"/>
        <v>279936</v>
      </c>
      <c r="J10" s="23">
        <f t="shared" si="8"/>
        <v>1679616</v>
      </c>
      <c r="L10" s="2">
        <f t="shared" si="1"/>
        <v>-0.80901699437494756</v>
      </c>
      <c r="M10" s="2">
        <f t="shared" si="2"/>
        <v>-0.58778525229247303</v>
      </c>
      <c r="N10" s="2">
        <v>6</v>
      </c>
    </row>
    <row r="11" spans="1:14" x14ac:dyDescent="0.3">
      <c r="A11" s="9">
        <v>7</v>
      </c>
      <c r="B11" s="25">
        <v>5.1100000000000003</v>
      </c>
      <c r="C11" s="30">
        <f t="shared" si="3"/>
        <v>7</v>
      </c>
      <c r="D11" s="2">
        <f t="shared" si="4"/>
        <v>49</v>
      </c>
      <c r="E11" s="2">
        <f t="shared" si="9"/>
        <v>343</v>
      </c>
      <c r="F11" s="2">
        <f t="shared" si="5"/>
        <v>2401</v>
      </c>
      <c r="G11" s="2">
        <f t="shared" si="6"/>
        <v>16807</v>
      </c>
      <c r="H11" s="2">
        <f t="shared" si="7"/>
        <v>117649</v>
      </c>
      <c r="I11" s="31">
        <f t="shared" si="0"/>
        <v>823543</v>
      </c>
      <c r="J11" s="23">
        <f t="shared" si="8"/>
        <v>5764801</v>
      </c>
      <c r="L11" s="2">
        <f t="shared" si="1"/>
        <v>-0.30901699437494756</v>
      </c>
      <c r="M11" s="2">
        <f t="shared" si="2"/>
        <v>-0.95105651629515353</v>
      </c>
      <c r="N11" s="2">
        <v>7</v>
      </c>
    </row>
    <row r="12" spans="1:14" x14ac:dyDescent="0.3">
      <c r="A12" s="9">
        <v>8</v>
      </c>
      <c r="B12" s="25">
        <v>4.12</v>
      </c>
      <c r="C12" s="30">
        <f t="shared" si="3"/>
        <v>8</v>
      </c>
      <c r="D12" s="2">
        <f t="shared" si="4"/>
        <v>64</v>
      </c>
      <c r="E12" s="2">
        <f t="shared" si="9"/>
        <v>512</v>
      </c>
      <c r="F12" s="2">
        <f t="shared" si="5"/>
        <v>4096</v>
      </c>
      <c r="G12" s="2">
        <f t="shared" si="6"/>
        <v>32768</v>
      </c>
      <c r="H12" s="2">
        <f t="shared" si="7"/>
        <v>262144</v>
      </c>
      <c r="I12" s="31">
        <f t="shared" si="0"/>
        <v>2097152</v>
      </c>
      <c r="J12" s="23">
        <f t="shared" si="8"/>
        <v>16777216</v>
      </c>
      <c r="L12" s="2">
        <f t="shared" si="1"/>
        <v>0.30901699437494723</v>
      </c>
      <c r="M12" s="2">
        <f t="shared" si="2"/>
        <v>-0.95105651629515364</v>
      </c>
      <c r="N12" s="2">
        <v>8</v>
      </c>
    </row>
    <row r="13" spans="1:14" x14ac:dyDescent="0.3">
      <c r="A13" s="9">
        <v>9</v>
      </c>
      <c r="B13" s="25">
        <v>6.09</v>
      </c>
      <c r="C13" s="30">
        <f t="shared" si="3"/>
        <v>9</v>
      </c>
      <c r="D13" s="2">
        <f t="shared" si="4"/>
        <v>81</v>
      </c>
      <c r="E13" s="2">
        <f t="shared" si="9"/>
        <v>729</v>
      </c>
      <c r="F13" s="2">
        <f t="shared" si="5"/>
        <v>6561</v>
      </c>
      <c r="G13" s="2">
        <f t="shared" si="6"/>
        <v>59049</v>
      </c>
      <c r="H13" s="2">
        <f t="shared" si="7"/>
        <v>531441</v>
      </c>
      <c r="I13" s="31">
        <f t="shared" si="0"/>
        <v>4782969</v>
      </c>
      <c r="J13" s="23">
        <f t="shared" si="8"/>
        <v>43046721</v>
      </c>
      <c r="L13" s="2">
        <f t="shared" si="1"/>
        <v>0.80901699437494734</v>
      </c>
      <c r="M13" s="2">
        <f t="shared" si="2"/>
        <v>-0.58778525229247336</v>
      </c>
      <c r="N13" s="2">
        <v>9</v>
      </c>
    </row>
    <row r="14" spans="1:14" x14ac:dyDescent="0.3">
      <c r="A14" s="9">
        <v>10</v>
      </c>
      <c r="B14" s="25">
        <v>4.01</v>
      </c>
      <c r="C14" s="30">
        <f t="shared" si="3"/>
        <v>10</v>
      </c>
      <c r="D14" s="2">
        <f t="shared" si="4"/>
        <v>100</v>
      </c>
      <c r="E14" s="2">
        <f t="shared" si="9"/>
        <v>1000</v>
      </c>
      <c r="F14" s="2">
        <f t="shared" si="5"/>
        <v>10000</v>
      </c>
      <c r="G14" s="2">
        <f t="shared" si="6"/>
        <v>100000</v>
      </c>
      <c r="H14" s="2">
        <f t="shared" si="7"/>
        <v>1000000</v>
      </c>
      <c r="I14" s="31">
        <f t="shared" si="0"/>
        <v>10000000</v>
      </c>
      <c r="J14" s="23">
        <f t="shared" si="8"/>
        <v>100000000</v>
      </c>
      <c r="L14" s="2">
        <f t="shared" si="1"/>
        <v>1</v>
      </c>
      <c r="M14" s="2">
        <f t="shared" si="2"/>
        <v>-2.45029690981724E-16</v>
      </c>
      <c r="N14" s="2">
        <v>10</v>
      </c>
    </row>
    <row r="15" spans="1:14" x14ac:dyDescent="0.3">
      <c r="A15" s="9">
        <v>11</v>
      </c>
      <c r="B15" s="25">
        <v>2.85</v>
      </c>
      <c r="C15" s="30">
        <f t="shared" si="3"/>
        <v>11</v>
      </c>
      <c r="D15" s="2">
        <f t="shared" si="4"/>
        <v>121</v>
      </c>
      <c r="E15" s="2">
        <f t="shared" si="9"/>
        <v>1331</v>
      </c>
      <c r="F15" s="2">
        <f t="shared" si="5"/>
        <v>14641</v>
      </c>
      <c r="G15" s="2">
        <f t="shared" si="6"/>
        <v>161051</v>
      </c>
      <c r="H15" s="2">
        <f t="shared" si="7"/>
        <v>1771561</v>
      </c>
      <c r="I15" s="31">
        <f t="shared" si="0"/>
        <v>19487171</v>
      </c>
      <c r="J15" s="23">
        <f t="shared" si="8"/>
        <v>214358881</v>
      </c>
      <c r="L15" s="2">
        <f t="shared" si="1"/>
        <v>0.80901699437494756</v>
      </c>
      <c r="M15" s="2">
        <f t="shared" si="2"/>
        <v>0.58778525229247292</v>
      </c>
      <c r="N15" s="2">
        <v>11</v>
      </c>
    </row>
    <row r="16" spans="1:14" x14ac:dyDescent="0.3">
      <c r="A16" s="9">
        <v>12</v>
      </c>
      <c r="B16" s="25">
        <v>8.6999999999999993</v>
      </c>
      <c r="C16" s="30">
        <f t="shared" si="3"/>
        <v>12</v>
      </c>
      <c r="D16" s="2">
        <f t="shared" si="4"/>
        <v>144</v>
      </c>
      <c r="E16" s="2">
        <f t="shared" si="9"/>
        <v>1728</v>
      </c>
      <c r="F16" s="2">
        <f t="shared" si="5"/>
        <v>20736</v>
      </c>
      <c r="G16" s="2">
        <f t="shared" si="6"/>
        <v>248832</v>
      </c>
      <c r="H16" s="2">
        <f t="shared" si="7"/>
        <v>2985984</v>
      </c>
      <c r="I16" s="31">
        <f t="shared" si="0"/>
        <v>35831808</v>
      </c>
      <c r="J16" s="23">
        <f t="shared" si="8"/>
        <v>429981696</v>
      </c>
      <c r="L16" s="2">
        <f t="shared" si="1"/>
        <v>0.30901699437494773</v>
      </c>
      <c r="M16" s="2">
        <f t="shared" si="2"/>
        <v>0.95105651629515353</v>
      </c>
      <c r="N16" s="2">
        <v>12</v>
      </c>
    </row>
    <row r="17" spans="1:14" x14ac:dyDescent="0.3">
      <c r="A17" s="9">
        <v>13</v>
      </c>
      <c r="B17" s="25">
        <v>6.28</v>
      </c>
      <c r="C17" s="30">
        <f t="shared" si="3"/>
        <v>13</v>
      </c>
      <c r="D17" s="2">
        <f t="shared" si="4"/>
        <v>169</v>
      </c>
      <c r="E17" s="2">
        <f t="shared" si="9"/>
        <v>2197</v>
      </c>
      <c r="F17" s="2">
        <f t="shared" si="5"/>
        <v>28561</v>
      </c>
      <c r="G17" s="2">
        <f t="shared" si="6"/>
        <v>371293</v>
      </c>
      <c r="H17" s="2">
        <f t="shared" si="7"/>
        <v>4826809</v>
      </c>
      <c r="I17" s="31">
        <f t="shared" si="0"/>
        <v>62748517</v>
      </c>
      <c r="J17" s="23">
        <f t="shared" si="8"/>
        <v>815730721</v>
      </c>
      <c r="L17" s="2">
        <f t="shared" si="1"/>
        <v>-0.30901699437494878</v>
      </c>
      <c r="M17" s="2">
        <f t="shared" si="2"/>
        <v>0.95105651629515309</v>
      </c>
      <c r="N17" s="2">
        <v>13</v>
      </c>
    </row>
    <row r="18" spans="1:14" x14ac:dyDescent="0.3">
      <c r="A18" s="9">
        <v>14</v>
      </c>
      <c r="B18" s="25">
        <v>4.3099999999999996</v>
      </c>
      <c r="C18" s="30">
        <f t="shared" si="3"/>
        <v>14</v>
      </c>
      <c r="D18" s="2">
        <f t="shared" si="4"/>
        <v>196</v>
      </c>
      <c r="E18" s="2">
        <f t="shared" si="9"/>
        <v>2744</v>
      </c>
      <c r="F18" s="2">
        <f t="shared" si="5"/>
        <v>38416</v>
      </c>
      <c r="G18" s="2">
        <f t="shared" si="6"/>
        <v>537824</v>
      </c>
      <c r="H18" s="2">
        <f t="shared" si="7"/>
        <v>7529536</v>
      </c>
      <c r="I18" s="31">
        <f t="shared" si="0"/>
        <v>105413504</v>
      </c>
      <c r="J18" s="23">
        <f t="shared" si="8"/>
        <v>1475789056</v>
      </c>
      <c r="L18" s="2">
        <f t="shared" si="1"/>
        <v>-0.80901699437494723</v>
      </c>
      <c r="M18" s="2">
        <f t="shared" si="2"/>
        <v>0.58778525229247336</v>
      </c>
      <c r="N18" s="2">
        <v>14</v>
      </c>
    </row>
    <row r="19" spans="1:14" x14ac:dyDescent="0.3">
      <c r="A19" s="9">
        <v>15</v>
      </c>
      <c r="B19" s="25">
        <v>4.76</v>
      </c>
      <c r="C19" s="30">
        <f t="shared" si="3"/>
        <v>15</v>
      </c>
      <c r="D19" s="2">
        <f t="shared" si="4"/>
        <v>225</v>
      </c>
      <c r="E19" s="2">
        <f t="shared" si="9"/>
        <v>3375</v>
      </c>
      <c r="F19" s="2">
        <f t="shared" si="5"/>
        <v>50625</v>
      </c>
      <c r="G19" s="2">
        <f t="shared" si="6"/>
        <v>759375</v>
      </c>
      <c r="H19" s="2">
        <f t="shared" si="7"/>
        <v>11390625</v>
      </c>
      <c r="I19" s="31">
        <f t="shared" si="0"/>
        <v>170859375</v>
      </c>
      <c r="J19" s="23">
        <f t="shared" si="8"/>
        <v>2562890625</v>
      </c>
      <c r="L19" s="2">
        <f t="shared" si="1"/>
        <v>-1</v>
      </c>
      <c r="M19" s="2">
        <f t="shared" si="2"/>
        <v>3.67544536472586E-16</v>
      </c>
      <c r="N19" s="2">
        <v>15</v>
      </c>
    </row>
    <row r="20" spans="1:14" x14ac:dyDescent="0.3">
      <c r="A20" s="9">
        <v>16</v>
      </c>
      <c r="B20" s="25">
        <v>-0.82</v>
      </c>
      <c r="C20" s="30">
        <f t="shared" si="3"/>
        <v>16</v>
      </c>
      <c r="D20" s="2">
        <f t="shared" si="4"/>
        <v>256</v>
      </c>
      <c r="E20" s="2">
        <f t="shared" si="9"/>
        <v>4096</v>
      </c>
      <c r="F20" s="2">
        <f t="shared" si="5"/>
        <v>65536</v>
      </c>
      <c r="G20" s="2">
        <f t="shared" si="6"/>
        <v>1048576</v>
      </c>
      <c r="H20" s="2">
        <f t="shared" si="7"/>
        <v>16777216</v>
      </c>
      <c r="I20" s="31">
        <f t="shared" si="0"/>
        <v>268435456</v>
      </c>
      <c r="J20" s="23">
        <f t="shared" si="8"/>
        <v>4294967296</v>
      </c>
      <c r="L20" s="2">
        <f t="shared" si="1"/>
        <v>-0.80901699437494767</v>
      </c>
      <c r="M20" s="2">
        <f t="shared" si="2"/>
        <v>-0.5877852522924728</v>
      </c>
      <c r="N20" s="2">
        <v>16</v>
      </c>
    </row>
    <row r="21" spans="1:14" x14ac:dyDescent="0.3">
      <c r="A21" s="9">
        <v>17</v>
      </c>
      <c r="B21" s="25">
        <v>3.07</v>
      </c>
      <c r="C21" s="30">
        <f t="shared" si="3"/>
        <v>17</v>
      </c>
      <c r="D21" s="2">
        <f t="shared" si="4"/>
        <v>289</v>
      </c>
      <c r="E21" s="2">
        <f t="shared" si="9"/>
        <v>4913</v>
      </c>
      <c r="F21" s="2">
        <f t="shared" si="5"/>
        <v>83521</v>
      </c>
      <c r="G21" s="2">
        <f t="shared" si="6"/>
        <v>1419857</v>
      </c>
      <c r="H21" s="2">
        <f t="shared" si="7"/>
        <v>24137569</v>
      </c>
      <c r="I21" s="31">
        <f t="shared" si="0"/>
        <v>410338673</v>
      </c>
      <c r="J21" s="23">
        <f t="shared" si="8"/>
        <v>6975757441</v>
      </c>
      <c r="L21" s="2">
        <f t="shared" si="1"/>
        <v>-0.30901699437494612</v>
      </c>
      <c r="M21" s="2">
        <f t="shared" si="2"/>
        <v>-0.95105651629515398</v>
      </c>
      <c r="N21" s="2">
        <v>17</v>
      </c>
    </row>
    <row r="22" spans="1:14" x14ac:dyDescent="0.3">
      <c r="A22" s="9">
        <v>18</v>
      </c>
      <c r="B22" s="25">
        <v>-6.32</v>
      </c>
      <c r="C22" s="30">
        <f t="shared" si="3"/>
        <v>18</v>
      </c>
      <c r="D22" s="2">
        <f t="shared" si="4"/>
        <v>324</v>
      </c>
      <c r="E22" s="2">
        <f t="shared" si="9"/>
        <v>5832</v>
      </c>
      <c r="F22" s="2">
        <f t="shared" si="5"/>
        <v>104976</v>
      </c>
      <c r="G22" s="2">
        <f t="shared" si="6"/>
        <v>1889568</v>
      </c>
      <c r="H22" s="2">
        <f t="shared" si="7"/>
        <v>34012224</v>
      </c>
      <c r="I22" s="31">
        <f t="shared" si="0"/>
        <v>612220032</v>
      </c>
      <c r="J22" s="23">
        <f t="shared" si="8"/>
        <v>11019960576</v>
      </c>
      <c r="L22" s="2">
        <f t="shared" si="1"/>
        <v>0.30901699437494701</v>
      </c>
      <c r="M22" s="2">
        <f t="shared" si="2"/>
        <v>-0.95105651629515375</v>
      </c>
      <c r="N22" s="2">
        <v>18</v>
      </c>
    </row>
    <row r="23" spans="1:14" x14ac:dyDescent="0.3">
      <c r="A23" s="9">
        <v>19</v>
      </c>
      <c r="B23" s="25">
        <v>-6.74</v>
      </c>
      <c r="C23" s="30">
        <f t="shared" si="3"/>
        <v>19</v>
      </c>
      <c r="D23" s="2">
        <f t="shared" si="4"/>
        <v>361</v>
      </c>
      <c r="E23" s="2">
        <f t="shared" si="9"/>
        <v>6859</v>
      </c>
      <c r="F23" s="2">
        <f t="shared" si="5"/>
        <v>130321</v>
      </c>
      <c r="G23" s="2">
        <f t="shared" si="6"/>
        <v>2476099</v>
      </c>
      <c r="H23" s="2">
        <f t="shared" si="7"/>
        <v>47045881</v>
      </c>
      <c r="I23" s="31">
        <f t="shared" si="0"/>
        <v>893871739</v>
      </c>
      <c r="J23" s="23">
        <f t="shared" si="8"/>
        <v>16983563041</v>
      </c>
      <c r="L23" s="2">
        <f t="shared" si="1"/>
        <v>0.80901699437494712</v>
      </c>
      <c r="M23" s="2">
        <f t="shared" si="2"/>
        <v>-0.58778525229247347</v>
      </c>
      <c r="N23" s="2">
        <v>19</v>
      </c>
    </row>
    <row r="24" spans="1:14" ht="15" thickBot="1" x14ac:dyDescent="0.35">
      <c r="A24" s="9">
        <v>20</v>
      </c>
      <c r="B24" s="25">
        <v>-3.15</v>
      </c>
      <c r="C24" s="32">
        <f t="shared" si="3"/>
        <v>20</v>
      </c>
      <c r="D24" s="33">
        <f t="shared" si="4"/>
        <v>400</v>
      </c>
      <c r="E24" s="33">
        <f t="shared" si="9"/>
        <v>8000</v>
      </c>
      <c r="F24" s="33">
        <f t="shared" si="5"/>
        <v>160000</v>
      </c>
      <c r="G24" s="33">
        <f t="shared" si="6"/>
        <v>3200000</v>
      </c>
      <c r="H24" s="33">
        <f t="shared" si="7"/>
        <v>64000000</v>
      </c>
      <c r="I24" s="34">
        <f t="shared" si="0"/>
        <v>1280000000</v>
      </c>
      <c r="J24" s="23">
        <f t="shared" si="8"/>
        <v>25600000000</v>
      </c>
      <c r="L24" s="2">
        <f t="shared" si="1"/>
        <v>1</v>
      </c>
      <c r="M24" s="2">
        <f t="shared" si="2"/>
        <v>-4.90059381963448E-16</v>
      </c>
      <c r="N24" s="2">
        <v>20</v>
      </c>
    </row>
    <row r="25" spans="1:14" ht="15" thickTop="1" x14ac:dyDescent="0.3"/>
    <row r="26" spans="1:14" x14ac:dyDescent="0.3">
      <c r="A26" s="11" t="s">
        <v>49</v>
      </c>
      <c r="B26" s="20">
        <f>_xlfn.CHISQ.INV(0.025,12)</f>
        <v>4.4037885069817007</v>
      </c>
      <c r="C26" s="3"/>
      <c r="D26" s="46" t="s">
        <v>51</v>
      </c>
      <c r="E26" s="46"/>
      <c r="F26" s="46"/>
    </row>
    <row r="27" spans="1:14" x14ac:dyDescent="0.3">
      <c r="A27" s="11" t="s">
        <v>50</v>
      </c>
      <c r="B27" s="20">
        <f>_xlfn.CHISQ.INV(0.975,12)</f>
        <v>23.336664158645341</v>
      </c>
      <c r="D27" s="22">
        <f>(12*('7'!B7)^2)/B27</f>
        <v>2.6301104044583186</v>
      </c>
      <c r="E27" s="22">
        <f>B2^2</f>
        <v>4</v>
      </c>
      <c r="F27" s="22">
        <f>(12*('7'!B7)^2)/B26</f>
        <v>13.937545618209155</v>
      </c>
      <c r="I27" s="26"/>
    </row>
    <row r="28" spans="1:14" x14ac:dyDescent="0.3">
      <c r="D28" s="22">
        <f>SQRT(D27)</f>
        <v>1.6217615128181821</v>
      </c>
      <c r="E28" s="22">
        <f t="shared" ref="E28:F28" si="10">SQRT(E27)</f>
        <v>2</v>
      </c>
      <c r="F28" s="22">
        <f t="shared" si="10"/>
        <v>3.7333022404044862</v>
      </c>
    </row>
    <row r="31" spans="1:14" x14ac:dyDescent="0.3">
      <c r="A31" s="46" t="s">
        <v>54</v>
      </c>
      <c r="B31" s="46"/>
      <c r="C31" s="46"/>
      <c r="D31" s="46"/>
      <c r="F31" s="46" t="s">
        <v>55</v>
      </c>
      <c r="G31" s="46"/>
      <c r="H31" s="46"/>
      <c r="I31" s="46"/>
    </row>
    <row r="32" spans="1:14" x14ac:dyDescent="0.3">
      <c r="A32" s="46" t="s">
        <v>52</v>
      </c>
      <c r="B32" s="46"/>
      <c r="C32" s="46" t="s">
        <v>53</v>
      </c>
      <c r="D32" s="46"/>
      <c r="F32" s="46" t="s">
        <v>52</v>
      </c>
      <c r="G32" s="46"/>
      <c r="H32" s="46" t="s">
        <v>53</v>
      </c>
      <c r="I32" s="46"/>
    </row>
    <row r="33" spans="1:9" x14ac:dyDescent="0.3">
      <c r="A33" s="24">
        <v>-5.7886166001958006E-2</v>
      </c>
      <c r="B33" s="24"/>
      <c r="C33" s="24"/>
      <c r="D33" s="24">
        <v>0.64211383399804201</v>
      </c>
      <c r="E33" s="21"/>
      <c r="F33" s="24">
        <v>1.3421138339980421</v>
      </c>
      <c r="G33" s="24"/>
      <c r="H33" s="24"/>
      <c r="I33" s="24">
        <v>3.3421138339980421</v>
      </c>
    </row>
    <row r="34" spans="1:9" x14ac:dyDescent="0.3">
      <c r="A34" s="24">
        <v>-0.20794133555481439</v>
      </c>
      <c r="B34" s="24"/>
      <c r="C34" s="24"/>
      <c r="D34" s="24">
        <v>0.49205866444518565</v>
      </c>
      <c r="E34" s="21"/>
      <c r="F34" s="24">
        <v>1.1920586644451856</v>
      </c>
      <c r="G34" s="24"/>
      <c r="H34" s="24"/>
      <c r="I34" s="24">
        <v>3.1920586644451858</v>
      </c>
    </row>
    <row r="35" spans="1:9" x14ac:dyDescent="0.3">
      <c r="A35" s="24">
        <v>-1.0356153942185569</v>
      </c>
      <c r="B35" s="24"/>
      <c r="C35" s="24"/>
      <c r="D35" s="24">
        <v>-0.33561539421855674</v>
      </c>
      <c r="E35" s="21"/>
      <c r="F35" s="24">
        <v>0.36438460578144327</v>
      </c>
      <c r="G35" s="24"/>
      <c r="H35" s="24"/>
      <c r="I35" s="24">
        <v>2.364384605781443</v>
      </c>
    </row>
    <row r="36" spans="1:9" x14ac:dyDescent="0.3">
      <c r="A36" s="24">
        <v>-1.125066371344845</v>
      </c>
      <c r="B36" s="24"/>
      <c r="C36" s="24"/>
      <c r="D36" s="24">
        <v>-0.4250663713448451</v>
      </c>
      <c r="E36" s="21"/>
      <c r="F36" s="24">
        <v>0.27493362865515492</v>
      </c>
      <c r="G36" s="24"/>
      <c r="H36" s="24"/>
      <c r="I36" s="24">
        <v>2.2749336286551549</v>
      </c>
    </row>
    <row r="37" spans="1:9" x14ac:dyDescent="0.3">
      <c r="A37" s="24">
        <v>-0.27906408790850268</v>
      </c>
      <c r="B37" s="24"/>
      <c r="C37" s="24"/>
      <c r="D37" s="24">
        <v>0.42093591209149733</v>
      </c>
      <c r="E37" s="21"/>
      <c r="F37" s="24">
        <v>1.1209359120914972</v>
      </c>
      <c r="G37" s="24"/>
      <c r="H37" s="24"/>
      <c r="I37" s="24">
        <v>3.1209359120914972</v>
      </c>
    </row>
    <row r="38" spans="1:9" x14ac:dyDescent="0.3">
      <c r="A38" s="24">
        <v>1.1406215543535243</v>
      </c>
      <c r="B38" s="24"/>
      <c r="C38" s="24"/>
      <c r="D38" s="24">
        <v>1.8406215543535243</v>
      </c>
      <c r="E38" s="21"/>
      <c r="F38" s="24">
        <v>2.5406215543535242</v>
      </c>
      <c r="G38" s="24"/>
      <c r="H38" s="24"/>
      <c r="I38" s="24">
        <v>4.5406215543535247</v>
      </c>
    </row>
    <row r="39" spans="1:9" x14ac:dyDescent="0.3">
      <c r="A39" s="24">
        <v>2.6459252438250425</v>
      </c>
      <c r="B39" s="24"/>
      <c r="C39" s="24"/>
      <c r="D39" s="24">
        <v>3.3459252438250422</v>
      </c>
      <c r="E39" s="21"/>
      <c r="F39" s="24">
        <v>4.0459252438250424</v>
      </c>
      <c r="G39" s="24"/>
      <c r="H39" s="24"/>
      <c r="I39" s="24">
        <v>6.0459252438250424</v>
      </c>
    </row>
    <row r="40" spans="1:9" x14ac:dyDescent="0.3">
      <c r="A40" s="24">
        <v>3.8670441537472144</v>
      </c>
      <c r="B40" s="24"/>
      <c r="C40" s="24"/>
      <c r="D40" s="24">
        <v>4.5670441537472142</v>
      </c>
      <c r="E40" s="21"/>
      <c r="F40" s="24">
        <v>5.2670441537472144</v>
      </c>
      <c r="G40" s="24"/>
      <c r="H40" s="24"/>
      <c r="I40" s="24">
        <v>7.2670441537472144</v>
      </c>
    </row>
    <row r="41" spans="1:9" x14ac:dyDescent="0.3">
      <c r="A41" s="24">
        <v>4.6476093246372994</v>
      </c>
      <c r="B41" s="24"/>
      <c r="C41" s="24"/>
      <c r="D41" s="24">
        <v>5.3476093246372995</v>
      </c>
      <c r="E41" s="21"/>
      <c r="F41" s="24">
        <v>6.0476093246372997</v>
      </c>
      <c r="G41" s="24"/>
      <c r="H41" s="24"/>
      <c r="I41" s="24">
        <v>8.0476093246372997</v>
      </c>
    </row>
    <row r="42" spans="1:9" x14ac:dyDescent="0.3">
      <c r="A42" s="24">
        <v>5.0292307982238551</v>
      </c>
      <c r="B42" s="24"/>
      <c r="C42" s="24"/>
      <c r="D42" s="24">
        <v>5.7292307982238553</v>
      </c>
      <c r="E42" s="21"/>
      <c r="F42" s="24">
        <v>6.4292307982238555</v>
      </c>
      <c r="G42" s="24"/>
      <c r="H42" s="24"/>
      <c r="I42" s="24">
        <v>8.4292307982238555</v>
      </c>
    </row>
    <row r="43" spans="1:9" x14ac:dyDescent="0.3">
      <c r="A43" s="24">
        <v>5.1641767667261202</v>
      </c>
      <c r="B43" s="24"/>
      <c r="C43" s="24"/>
      <c r="D43" s="24">
        <v>5.8641767667261204</v>
      </c>
      <c r="E43" s="21"/>
      <c r="F43" s="24">
        <v>6.5641767667261206</v>
      </c>
      <c r="G43" s="24"/>
      <c r="H43" s="24"/>
      <c r="I43" s="24">
        <v>8.5641767667261206</v>
      </c>
    </row>
    <row r="44" spans="1:9" x14ac:dyDescent="0.3">
      <c r="A44" s="24">
        <v>5.1949470013114816</v>
      </c>
      <c r="B44" s="24"/>
      <c r="C44" s="24"/>
      <c r="D44" s="24">
        <v>5.8949470013114817</v>
      </c>
      <c r="E44" s="21"/>
      <c r="F44" s="24">
        <v>6.5949470013114819</v>
      </c>
      <c r="G44" s="24"/>
      <c r="H44" s="24"/>
      <c r="I44" s="24">
        <v>8.5949470013114819</v>
      </c>
    </row>
    <row r="45" spans="1:9" x14ac:dyDescent="0.3">
      <c r="A45" s="24">
        <v>5.1395008235568636</v>
      </c>
      <c r="B45" s="24"/>
      <c r="C45" s="24"/>
      <c r="D45" s="24">
        <v>5.8395008235568637</v>
      </c>
      <c r="E45" s="21"/>
      <c r="F45" s="24">
        <v>6.5395008235568639</v>
      </c>
      <c r="G45" s="24"/>
      <c r="H45" s="24"/>
      <c r="I45" s="24">
        <v>8.5395008235568639</v>
      </c>
    </row>
    <row r="46" spans="1:9" x14ac:dyDescent="0.3">
      <c r="A46" s="24">
        <v>4.8208998837490977</v>
      </c>
      <c r="B46" s="24"/>
      <c r="C46" s="24"/>
      <c r="D46" s="24">
        <v>5.5208998837490979</v>
      </c>
      <c r="E46" s="21"/>
      <c r="F46" s="24">
        <v>6.2208998837490981</v>
      </c>
      <c r="G46" s="24"/>
      <c r="H46" s="24"/>
      <c r="I46" s="24">
        <v>8.2208998837490981</v>
      </c>
    </row>
    <row r="47" spans="1:9" x14ac:dyDescent="0.3">
      <c r="A47" s="24">
        <v>3.8801260098642616</v>
      </c>
      <c r="B47" s="24"/>
      <c r="C47" s="24"/>
      <c r="D47" s="24">
        <v>4.5801260098642613</v>
      </c>
      <c r="E47" s="21"/>
      <c r="F47" s="24">
        <v>5.2801260098642615</v>
      </c>
      <c r="G47" s="24"/>
      <c r="H47" s="24"/>
      <c r="I47" s="24">
        <v>7.2801260098642615</v>
      </c>
    </row>
    <row r="48" spans="1:9" x14ac:dyDescent="0.3">
      <c r="A48" s="24">
        <v>1.9108343910234908</v>
      </c>
      <c r="B48" s="24"/>
      <c r="C48" s="24"/>
      <c r="D48" s="24">
        <v>2.6108343910234906</v>
      </c>
      <c r="E48" s="21"/>
      <c r="F48" s="24">
        <v>3.3108343910234908</v>
      </c>
      <c r="G48" s="24"/>
      <c r="H48" s="24"/>
      <c r="I48" s="24">
        <v>5.3108343910234908</v>
      </c>
    </row>
    <row r="49" spans="1:9" x14ac:dyDescent="0.3">
      <c r="A49" s="24">
        <v>-1.2451976406931862</v>
      </c>
      <c r="B49" s="24"/>
      <c r="C49" s="24"/>
      <c r="D49" s="24">
        <v>-0.54519764069318621</v>
      </c>
      <c r="E49" s="21"/>
      <c r="F49" s="24">
        <v>0.15480235930681374</v>
      </c>
      <c r="G49" s="24"/>
      <c r="H49" s="24"/>
      <c r="I49" s="24">
        <v>2.1548023593068137</v>
      </c>
    </row>
    <row r="50" spans="1:9" x14ac:dyDescent="0.3">
      <c r="A50" s="24">
        <v>-5.0031659662976384</v>
      </c>
      <c r="B50" s="24"/>
      <c r="C50" s="24"/>
      <c r="D50" s="24">
        <v>-4.3031659662976383</v>
      </c>
      <c r="E50" s="21"/>
      <c r="F50" s="24">
        <v>-3.6031659662976381</v>
      </c>
      <c r="G50" s="24"/>
      <c r="H50" s="24"/>
      <c r="I50" s="24">
        <v>-1.6031659662976381</v>
      </c>
    </row>
    <row r="51" spans="1:9" x14ac:dyDescent="0.3">
      <c r="A51" s="24">
        <v>-7.3021189099203188</v>
      </c>
      <c r="B51" s="24"/>
      <c r="C51" s="24"/>
      <c r="D51" s="24">
        <v>-6.6021189099203186</v>
      </c>
      <c r="E51" s="21"/>
      <c r="F51" s="24">
        <v>-5.9021189099203184</v>
      </c>
      <c r="G51" s="24"/>
      <c r="H51" s="24"/>
      <c r="I51" s="24">
        <v>-3.9021189099203184</v>
      </c>
    </row>
    <row r="52" spans="1:9" x14ac:dyDescent="0.3">
      <c r="A52" s="24">
        <v>-3.5948600790547061</v>
      </c>
      <c r="B52" s="24"/>
      <c r="C52" s="24"/>
      <c r="D52" s="24">
        <v>-2.8948600790547063</v>
      </c>
      <c r="E52" s="21"/>
      <c r="F52" s="24">
        <v>-2.1948600790547061</v>
      </c>
      <c r="G52" s="24"/>
      <c r="H52" s="24"/>
      <c r="I52" s="24">
        <v>-0.19486007905470615</v>
      </c>
    </row>
    <row r="72" spans="2:15" ht="28.8" x14ac:dyDescent="0.3">
      <c r="B72" s="37" t="s">
        <v>3</v>
      </c>
      <c r="C72" s="37" t="s">
        <v>62</v>
      </c>
      <c r="D72" s="37" t="s">
        <v>63</v>
      </c>
      <c r="E72" s="37" t="s">
        <v>64</v>
      </c>
      <c r="F72" s="37"/>
      <c r="G72" s="37" t="s">
        <v>77</v>
      </c>
      <c r="M72" s="37" t="s">
        <v>68</v>
      </c>
      <c r="N72" s="37" t="s">
        <v>69</v>
      </c>
      <c r="O72" s="37" t="s">
        <v>70</v>
      </c>
    </row>
    <row r="73" spans="2:15" x14ac:dyDescent="0.3">
      <c r="B73" s="35">
        <v>0.18788616600195801</v>
      </c>
      <c r="C73" s="2">
        <v>-20</v>
      </c>
      <c r="D73" s="2">
        <f>$B$93+C73*$B$94</f>
        <v>-64.608424430505693</v>
      </c>
      <c r="E73" s="2">
        <f t="array" ref="E73:E78">FREQUENCY(B73:B92,D73:D78)</f>
        <v>0</v>
      </c>
      <c r="F73" s="2">
        <f t="shared" ref="F73:F78" si="11">E73^2</f>
        <v>0</v>
      </c>
      <c r="G73" s="2">
        <f>E73 / (SUM($E$73:$E$78) * $B$97)</f>
        <v>0</v>
      </c>
      <c r="M73" s="2">
        <f>B73^2</f>
        <v>3.530121137491532E-2</v>
      </c>
      <c r="N73" s="2">
        <f>B74-B73</f>
        <v>-1.0199448304471437</v>
      </c>
      <c r="O73" s="2">
        <f>N73^2</f>
        <v>1.0402874571558527</v>
      </c>
    </row>
    <row r="74" spans="2:15" x14ac:dyDescent="0.3">
      <c r="B74" s="35">
        <v>-0.83205866444518561</v>
      </c>
      <c r="C74" s="2">
        <v>-0.84160000000000001</v>
      </c>
      <c r="D74" s="2">
        <f t="shared" ref="D74:D78" si="12">$B$93+C74*$B$94</f>
        <v>-2.7187225000368165</v>
      </c>
      <c r="E74" s="2">
        <v>1</v>
      </c>
      <c r="F74" s="2">
        <f t="shared" si="11"/>
        <v>1</v>
      </c>
      <c r="G74" s="2">
        <f t="shared" ref="G74:G78" si="13">E74 / (SUM($E$73:$E$78) * $B$97)</f>
        <v>3.5480962742528245E-2</v>
      </c>
      <c r="M74" s="2">
        <f t="shared" ref="M74:M92" si="14">B74^2</f>
        <v>0.69232162107830597</v>
      </c>
      <c r="N74" s="2">
        <f t="shared" ref="N74:N90" si="15">B75-B74</f>
        <v>1.6776740586637424</v>
      </c>
      <c r="O74" s="2">
        <f t="shared" ref="O74:O91" si="16">N74^2</f>
        <v>2.8145902471132742</v>
      </c>
    </row>
    <row r="75" spans="2:15" x14ac:dyDescent="0.3">
      <c r="B75" s="35">
        <v>0.84561539421855669</v>
      </c>
      <c r="C75" s="2">
        <v>-0.25330000000000003</v>
      </c>
      <c r="D75" s="2">
        <f t="shared" si="12"/>
        <v>-0.81826569541352612</v>
      </c>
      <c r="E75" s="2">
        <v>7</v>
      </c>
      <c r="F75" s="2">
        <f t="shared" si="11"/>
        <v>49</v>
      </c>
      <c r="G75" s="2">
        <f t="shared" si="13"/>
        <v>0.24836673919769772</v>
      </c>
      <c r="M75" s="2">
        <f t="shared" si="14"/>
        <v>0.71506539493940502</v>
      </c>
      <c r="N75" s="2">
        <f t="shared" si="15"/>
        <v>0.25945097712628828</v>
      </c>
      <c r="O75" s="2">
        <f t="shared" si="16"/>
        <v>6.7314809531785771E-2</v>
      </c>
    </row>
    <row r="76" spans="2:15" x14ac:dyDescent="0.3">
      <c r="B76" s="35">
        <v>1.105066371344845</v>
      </c>
      <c r="C76" s="2">
        <v>0.25330000000000003</v>
      </c>
      <c r="D76" s="2">
        <f t="shared" si="12"/>
        <v>0.81826569541115335</v>
      </c>
      <c r="E76" s="2">
        <v>6</v>
      </c>
      <c r="F76" s="2">
        <f t="shared" si="11"/>
        <v>36</v>
      </c>
      <c r="G76" s="2">
        <f t="shared" si="13"/>
        <v>0.21288577645516948</v>
      </c>
      <c r="M76" s="2">
        <f t="shared" si="14"/>
        <v>1.2211716850772629</v>
      </c>
      <c r="N76" s="2">
        <f t="shared" si="15"/>
        <v>-3.0760022834363423</v>
      </c>
      <c r="O76" s="2">
        <f t="shared" si="16"/>
        <v>9.4617900477055912</v>
      </c>
    </row>
    <row r="77" spans="2:15" x14ac:dyDescent="0.3">
      <c r="B77" s="35">
        <v>-1.9709359120914973</v>
      </c>
      <c r="C77" s="2">
        <v>0.84160000000000001</v>
      </c>
      <c r="D77" s="2">
        <f>$B$93+C77*$B$94</f>
        <v>2.7187225000344433</v>
      </c>
      <c r="E77" s="2">
        <v>4</v>
      </c>
      <c r="F77" s="2">
        <f t="shared" si="11"/>
        <v>16</v>
      </c>
      <c r="G77" s="2">
        <f t="shared" si="13"/>
        <v>0.14192385097011298</v>
      </c>
      <c r="M77" s="2">
        <f t="shared" si="14"/>
        <v>3.8845883695719423</v>
      </c>
      <c r="N77" s="2">
        <f t="shared" si="15"/>
        <v>1.1203143577379731</v>
      </c>
      <c r="O77" s="2">
        <f t="shared" si="16"/>
        <v>1.2551042601538471</v>
      </c>
    </row>
    <row r="78" spans="2:15" x14ac:dyDescent="0.3">
      <c r="B78" s="35">
        <v>-0.85062155435352427</v>
      </c>
      <c r="C78" s="2">
        <v>20</v>
      </c>
      <c r="D78" s="2">
        <f t="shared" si="12"/>
        <v>64.608424430503334</v>
      </c>
      <c r="E78" s="2">
        <v>2</v>
      </c>
      <c r="F78" s="2">
        <f t="shared" si="11"/>
        <v>4</v>
      </c>
      <c r="G78" s="2">
        <f t="shared" si="13"/>
        <v>7.096192548505649E-2</v>
      </c>
      <c r="M78" s="2">
        <f t="shared" si="14"/>
        <v>0.72355702873080563</v>
      </c>
      <c r="N78" s="2">
        <f t="shared" si="15"/>
        <v>2.9146963105284822</v>
      </c>
      <c r="O78" s="2">
        <f t="shared" si="16"/>
        <v>8.4954545826083461</v>
      </c>
    </row>
    <row r="79" spans="2:15" x14ac:dyDescent="0.3">
      <c r="B79" s="35">
        <v>2.0640747561749579</v>
      </c>
      <c r="C79" s="3"/>
      <c r="F79" s="35">
        <f>SUM(F73:F78)</f>
        <v>106</v>
      </c>
      <c r="M79" s="2">
        <f t="shared" si="14"/>
        <v>4.2604045990787123</v>
      </c>
      <c r="N79" s="2">
        <f t="shared" si="15"/>
        <v>-2.2111189099221722</v>
      </c>
      <c r="O79" s="2">
        <f t="shared" si="16"/>
        <v>4.8890468338154154</v>
      </c>
    </row>
    <row r="80" spans="2:15" x14ac:dyDescent="0.3">
      <c r="B80" s="35">
        <v>-0.14704415374721425</v>
      </c>
      <c r="C80" s="3"/>
      <c r="D80" s="3"/>
      <c r="H80" s="26"/>
      <c r="M80" s="2">
        <f t="shared" si="14"/>
        <v>2.162198315123438E-2</v>
      </c>
      <c r="N80" s="2">
        <f t="shared" si="15"/>
        <v>1.1894348291099144</v>
      </c>
      <c r="O80" s="2">
        <f t="shared" si="16"/>
        <v>1.4147552126997311</v>
      </c>
    </row>
    <row r="81" spans="1:15" x14ac:dyDescent="0.3">
      <c r="B81" s="35">
        <v>1.0423906753627001</v>
      </c>
      <c r="C81" s="3"/>
      <c r="D81" s="3"/>
      <c r="H81" s="26"/>
      <c r="I81" s="26"/>
      <c r="M81" s="2">
        <f t="shared" si="14"/>
        <v>1.0865783200831061</v>
      </c>
      <c r="N81" s="2">
        <f t="shared" si="15"/>
        <v>-2.4616214735865558</v>
      </c>
      <c r="O81" s="2">
        <f t="shared" si="16"/>
        <v>6.0595802792224465</v>
      </c>
    </row>
    <row r="82" spans="1:15" x14ac:dyDescent="0.3">
      <c r="B82" s="35">
        <v>-1.4192307982238557</v>
      </c>
      <c r="C82" s="3"/>
      <c r="D82" s="3"/>
      <c r="H82" s="26"/>
      <c r="I82" s="26"/>
      <c r="M82" s="2">
        <f t="shared" si="14"/>
        <v>2.0142160586271225</v>
      </c>
      <c r="N82" s="2">
        <f t="shared" si="15"/>
        <v>-1.2949459685022648</v>
      </c>
      <c r="O82" s="2">
        <f t="shared" si="16"/>
        <v>1.6768850613402686</v>
      </c>
    </row>
    <row r="83" spans="1:15" x14ac:dyDescent="0.3">
      <c r="B83" s="35">
        <v>-2.7141767667261205</v>
      </c>
      <c r="C83" s="3"/>
      <c r="D83" s="43" t="s">
        <v>65</v>
      </c>
      <c r="E83" s="44"/>
      <c r="F83" s="45"/>
      <c r="G83" s="38">
        <f>(5/20)*F79-20</f>
        <v>6.5</v>
      </c>
      <c r="H83" s="26"/>
      <c r="I83" s="26"/>
      <c r="M83" s="2">
        <f t="shared" si="14"/>
        <v>7.3667555210358575</v>
      </c>
      <c r="N83" s="2">
        <f t="shared" si="15"/>
        <v>5.8192297654146383</v>
      </c>
      <c r="O83" s="2">
        <f t="shared" si="16"/>
        <v>33.863435062687707</v>
      </c>
    </row>
    <row r="84" spans="1:15" x14ac:dyDescent="0.3">
      <c r="B84" s="35">
        <v>3.1050529986885174</v>
      </c>
      <c r="C84" s="3"/>
      <c r="D84" s="41" t="s">
        <v>66</v>
      </c>
      <c r="E84" s="41"/>
      <c r="F84" s="41"/>
      <c r="G84" s="38">
        <v>6.8440000000000003</v>
      </c>
      <c r="H84" s="26"/>
      <c r="I84" s="26"/>
      <c r="M84" s="2">
        <f t="shared" si="14"/>
        <v>9.641354124664554</v>
      </c>
      <c r="N84" s="2">
        <f t="shared" si="15"/>
        <v>-2.364553822245381</v>
      </c>
      <c r="O84" s="2">
        <f t="shared" si="16"/>
        <v>5.5911147782952408</v>
      </c>
    </row>
    <row r="85" spans="1:15" x14ac:dyDescent="0.3">
      <c r="B85" s="35">
        <v>0.74049917644313634</v>
      </c>
      <c r="C85" s="3"/>
      <c r="D85" s="3"/>
      <c r="H85" s="26"/>
      <c r="M85" s="2">
        <f t="shared" si="14"/>
        <v>0.54833903031296316</v>
      </c>
      <c r="N85" s="2">
        <f t="shared" si="15"/>
        <v>-1.6513990601922348</v>
      </c>
      <c r="O85" s="2">
        <f t="shared" si="16"/>
        <v>2.7271188560037962</v>
      </c>
    </row>
    <row r="86" spans="1:15" x14ac:dyDescent="0.3">
      <c r="B86" s="35">
        <v>-0.91089988374909847</v>
      </c>
      <c r="C86" s="3"/>
      <c r="D86" s="42" t="s">
        <v>67</v>
      </c>
      <c r="E86" s="42"/>
      <c r="F86" s="42"/>
      <c r="G86" s="42"/>
      <c r="H86" s="42"/>
      <c r="I86" s="42"/>
      <c r="M86" s="2">
        <f t="shared" si="14"/>
        <v>0.8297385982141211</v>
      </c>
      <c r="N86" s="2">
        <f t="shared" si="15"/>
        <v>1.3907738738848368</v>
      </c>
      <c r="O86" s="2">
        <f t="shared" si="16"/>
        <v>1.9342519682806358</v>
      </c>
    </row>
    <row r="87" spans="1:15" x14ac:dyDescent="0.3">
      <c r="B87" s="35">
        <v>0.47987399013573828</v>
      </c>
      <c r="C87" s="3"/>
      <c r="D87" s="3"/>
      <c r="H87" s="26"/>
      <c r="M87" s="2">
        <f t="shared" si="14"/>
        <v>0.23027904640879465</v>
      </c>
      <c r="N87" s="2">
        <f t="shared" si="15"/>
        <v>-3.6107083811592289</v>
      </c>
      <c r="O87" s="2">
        <f t="shared" si="16"/>
        <v>13.037215013773499</v>
      </c>
    </row>
    <row r="88" spans="1:15" x14ac:dyDescent="0.3">
      <c r="B88" s="35">
        <v>-3.1308343910234906</v>
      </c>
      <c r="C88" s="3"/>
      <c r="D88" s="3"/>
      <c r="H88" s="26"/>
      <c r="M88" s="2">
        <f t="shared" si="14"/>
        <v>9.8021239840154308</v>
      </c>
      <c r="N88" s="2">
        <f t="shared" si="15"/>
        <v>7.0460320317166767</v>
      </c>
      <c r="O88" s="2">
        <f t="shared" si="16"/>
        <v>49.646567391977442</v>
      </c>
    </row>
    <row r="89" spans="1:15" x14ac:dyDescent="0.3">
      <c r="B89" s="35">
        <v>3.9151976406931861</v>
      </c>
      <c r="C89" s="3"/>
      <c r="D89" s="3"/>
      <c r="H89" s="26"/>
      <c r="M89" s="2">
        <f t="shared" si="14"/>
        <v>15.328772565689491</v>
      </c>
      <c r="N89" s="2">
        <f t="shared" si="15"/>
        <v>-5.6320316743955487</v>
      </c>
      <c r="O89" s="2">
        <f t="shared" si="16"/>
        <v>31.719780781394729</v>
      </c>
    </row>
    <row r="90" spans="1:15" x14ac:dyDescent="0.3">
      <c r="B90" s="35">
        <v>-1.7168340337023622</v>
      </c>
      <c r="C90" s="3"/>
      <c r="D90" s="3"/>
      <c r="H90" s="26"/>
      <c r="M90" s="2">
        <f t="shared" si="14"/>
        <v>2.9475190992787237</v>
      </c>
      <c r="N90" s="2">
        <f t="shared" si="15"/>
        <v>1.8789529436226804</v>
      </c>
      <c r="O90" s="2">
        <f t="shared" si="16"/>
        <v>3.5304641643483357</v>
      </c>
    </row>
    <row r="91" spans="1:15" x14ac:dyDescent="0.3">
      <c r="B91" s="35">
        <v>0.16211890992031819</v>
      </c>
      <c r="C91" s="3"/>
      <c r="D91" s="3"/>
      <c r="H91" s="26"/>
      <c r="M91" s="2">
        <f t="shared" si="14"/>
        <v>2.6282540953752244E-2</v>
      </c>
      <c r="N91" s="2">
        <f>B92-B91</f>
        <v>-0.11725883086561195</v>
      </c>
      <c r="O91" s="2">
        <f t="shared" si="16"/>
        <v>1.374963341597019E-2</v>
      </c>
    </row>
    <row r="92" spans="1:15" x14ac:dyDescent="0.3">
      <c r="B92" s="35">
        <v>4.4860079054706237E-2</v>
      </c>
      <c r="C92" s="3"/>
      <c r="D92" s="3"/>
      <c r="H92" s="26"/>
      <c r="M92" s="2">
        <f t="shared" si="14"/>
        <v>2.0124266927944931E-3</v>
      </c>
      <c r="N92" s="26"/>
      <c r="O92" s="26"/>
    </row>
    <row r="93" spans="1:15" x14ac:dyDescent="0.3">
      <c r="A93" s="11" t="s">
        <v>56</v>
      </c>
      <c r="B93" s="36">
        <f>AVERAGE(B73:B92)</f>
        <v>-1.1864287330354272E-12</v>
      </c>
      <c r="C93" s="26"/>
      <c r="H93" s="26"/>
      <c r="M93" s="26"/>
      <c r="N93" s="26"/>
      <c r="O93" s="26"/>
    </row>
    <row r="94" spans="1:15" x14ac:dyDescent="0.3">
      <c r="A94" s="11" t="s">
        <v>57</v>
      </c>
      <c r="B94" s="36">
        <f>VAR(B73:B92)</f>
        <v>3.2304212215252255</v>
      </c>
      <c r="H94" s="26"/>
    </row>
    <row r="95" spans="1:15" x14ac:dyDescent="0.3">
      <c r="A95" s="11" t="s">
        <v>58</v>
      </c>
      <c r="B95" s="36">
        <f>MAX(B73:B92)</f>
        <v>3.9151976406931861</v>
      </c>
      <c r="H95" s="26"/>
      <c r="I95" s="26"/>
      <c r="J95" s="43" t="s">
        <v>71</v>
      </c>
      <c r="K95" s="44"/>
      <c r="L95" s="44"/>
      <c r="M95" s="45"/>
      <c r="N95" s="40">
        <f>SUM(O73:O91)/SUM(M73:M92)</f>
        <v>2.9202401034659631</v>
      </c>
    </row>
    <row r="96" spans="1:15" x14ac:dyDescent="0.3">
      <c r="A96" s="11" t="s">
        <v>59</v>
      </c>
      <c r="B96" s="36">
        <f>MIN(B73:B92)</f>
        <v>-3.1308343910234906</v>
      </c>
      <c r="H96" s="26"/>
      <c r="M96" s="38" t="s">
        <v>72</v>
      </c>
      <c r="N96" s="38">
        <v>0.79</v>
      </c>
    </row>
    <row r="97" spans="1:19" x14ac:dyDescent="0.3">
      <c r="A97" s="11" t="s">
        <v>60</v>
      </c>
      <c r="B97" s="36">
        <f>(B95-B96)/B98</f>
        <v>1.4092064063433354</v>
      </c>
      <c r="H97" s="26"/>
      <c r="M97" s="38" t="s">
        <v>73</v>
      </c>
      <c r="N97" s="38">
        <v>1.99</v>
      </c>
    </row>
    <row r="98" spans="1:19" x14ac:dyDescent="0.3">
      <c r="A98" s="11" t="s">
        <v>61</v>
      </c>
      <c r="B98" s="36">
        <v>5</v>
      </c>
      <c r="H98" s="26"/>
      <c r="M98" s="38" t="s">
        <v>74</v>
      </c>
      <c r="N98" s="38">
        <f>4-N96</f>
        <v>3.21</v>
      </c>
    </row>
    <row r="99" spans="1:19" x14ac:dyDescent="0.3">
      <c r="M99" s="39" t="s">
        <v>75</v>
      </c>
      <c r="N99" s="39">
        <f>4-N97</f>
        <v>2.0099999999999998</v>
      </c>
    </row>
    <row r="100" spans="1:19" x14ac:dyDescent="0.3">
      <c r="I100" s="47" t="s">
        <v>76</v>
      </c>
      <c r="J100" s="47"/>
      <c r="K100" s="47"/>
      <c r="L100" s="47"/>
      <c r="M100" s="47"/>
      <c r="N100" s="47"/>
      <c r="O100" s="47"/>
      <c r="P100" s="47"/>
      <c r="Q100" s="47"/>
      <c r="R100" s="47"/>
      <c r="S100" s="47"/>
    </row>
    <row r="105" spans="1:19" x14ac:dyDescent="0.3">
      <c r="A105" s="4" t="s">
        <v>78</v>
      </c>
      <c r="B105" s="4" t="s">
        <v>64</v>
      </c>
      <c r="C105" s="4" t="s">
        <v>77</v>
      </c>
    </row>
    <row r="106" spans="1:19" x14ac:dyDescent="0.3">
      <c r="A106" s="48">
        <f>B96</f>
        <v>-3.1308343910234906</v>
      </c>
      <c r="B106" s="48">
        <f t="array" ref="B106:B111">FREQUENCY(B73:B92,A106:A111)</f>
        <v>1</v>
      </c>
      <c r="C106" s="48">
        <f>B106 / (SUM($B$106:$B$111) * $B$97)</f>
        <v>3.5480962742528245E-2</v>
      </c>
    </row>
    <row r="107" spans="1:19" x14ac:dyDescent="0.3">
      <c r="A107" s="48">
        <f>A106+$B$97</f>
        <v>-1.7216279846801552</v>
      </c>
      <c r="B107" s="48">
        <v>2</v>
      </c>
      <c r="C107" s="48">
        <f t="shared" ref="C107:C111" si="17">B107 / (SUM($B$106:$B$111) * $B$97)</f>
        <v>7.096192548505649E-2</v>
      </c>
    </row>
    <row r="108" spans="1:19" x14ac:dyDescent="0.3">
      <c r="A108" s="48">
        <f t="shared" ref="A108:A112" si="18">A107+$B$97</f>
        <v>-0.31242157833681983</v>
      </c>
      <c r="B108" s="48">
        <v>5</v>
      </c>
      <c r="C108" s="48">
        <f t="shared" si="17"/>
        <v>0.17740481371264122</v>
      </c>
    </row>
    <row r="109" spans="1:19" x14ac:dyDescent="0.3">
      <c r="A109" s="48">
        <f t="shared" si="18"/>
        <v>1.0967848280065156</v>
      </c>
      <c r="B109" s="48">
        <v>8</v>
      </c>
      <c r="C109" s="48">
        <f t="shared" si="17"/>
        <v>0.28384770194022596</v>
      </c>
    </row>
    <row r="110" spans="1:19" x14ac:dyDescent="0.3">
      <c r="A110" s="48">
        <f t="shared" si="18"/>
        <v>2.5059912343498509</v>
      </c>
      <c r="B110" s="48">
        <v>2</v>
      </c>
      <c r="C110" s="48">
        <f t="shared" si="17"/>
        <v>7.096192548505649E-2</v>
      </c>
    </row>
    <row r="111" spans="1:19" x14ac:dyDescent="0.3">
      <c r="A111" s="48">
        <f t="shared" si="18"/>
        <v>3.9151976406931865</v>
      </c>
      <c r="B111" s="48">
        <v>2</v>
      </c>
      <c r="C111" s="48">
        <f t="shared" si="17"/>
        <v>7.096192548505649E-2</v>
      </c>
    </row>
    <row r="112" spans="1:19" x14ac:dyDescent="0.3">
      <c r="A112" s="26"/>
    </row>
  </sheetData>
  <mergeCells count="12">
    <mergeCell ref="D26:F26"/>
    <mergeCell ref="F31:I31"/>
    <mergeCell ref="F32:G32"/>
    <mergeCell ref="H32:I32"/>
    <mergeCell ref="A31:D31"/>
    <mergeCell ref="A32:B32"/>
    <mergeCell ref="C32:D32"/>
    <mergeCell ref="I100:S100"/>
    <mergeCell ref="D84:F84"/>
    <mergeCell ref="D86:I86"/>
    <mergeCell ref="J95:M95"/>
    <mergeCell ref="D83:F83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cos</vt:lpstr>
      <vt:lpstr>1</vt:lpstr>
      <vt:lpstr>2</vt:lpstr>
      <vt:lpstr>3</vt:lpstr>
      <vt:lpstr>4</vt:lpstr>
      <vt:lpstr>5</vt:lpstr>
      <vt:lpstr>6</vt:lpstr>
      <vt:lpstr>8</vt:lpstr>
      <vt:lpstr>7</vt:lpstr>
      <vt:lpstr>Лист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Andreev</dc:creator>
  <cp:lastModifiedBy>Lion120454#2</cp:lastModifiedBy>
  <dcterms:created xsi:type="dcterms:W3CDTF">2015-06-05T18:19:34Z</dcterms:created>
  <dcterms:modified xsi:type="dcterms:W3CDTF">2025-12-02T12:35:27Z</dcterms:modified>
</cp:coreProperties>
</file>