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Flashka\ПМС\Лаба 5\"/>
    </mc:Choice>
  </mc:AlternateContent>
  <xr:revisionPtr revIDLastSave="0" documentId="13_ncr:1_{D62A0A0E-15D8-4B23-B5FB-3E7CE30D3C34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5.1" sheetId="1" r:id="rId1"/>
    <sheet name="5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2" l="1"/>
  <c r="G8" i="2"/>
  <c r="G9" i="2"/>
  <c r="G10" i="2"/>
  <c r="G11" i="2"/>
  <c r="G12" i="2"/>
  <c r="G13" i="2"/>
  <c r="G14" i="2"/>
  <c r="G15" i="2"/>
  <c r="G6" i="2"/>
  <c r="H7" i="2"/>
  <c r="I7" i="2"/>
  <c r="J7" i="2"/>
  <c r="K7" i="2"/>
  <c r="H8" i="2"/>
  <c r="I8" i="2"/>
  <c r="J8" i="2"/>
  <c r="K8" i="2"/>
  <c r="H9" i="2"/>
  <c r="I9" i="2"/>
  <c r="J9" i="2"/>
  <c r="K9" i="2"/>
  <c r="H10" i="2"/>
  <c r="I10" i="2"/>
  <c r="J10" i="2"/>
  <c r="K10" i="2"/>
  <c r="H11" i="2"/>
  <c r="I11" i="2"/>
  <c r="J11" i="2"/>
  <c r="K11" i="2"/>
  <c r="H12" i="2"/>
  <c r="I12" i="2"/>
  <c r="J12" i="2"/>
  <c r="K12" i="2"/>
  <c r="H13" i="2"/>
  <c r="I13" i="2"/>
  <c r="J13" i="2"/>
  <c r="K13" i="2"/>
  <c r="H14" i="2"/>
  <c r="I14" i="2"/>
  <c r="J14" i="2"/>
  <c r="K14" i="2"/>
  <c r="H15" i="2"/>
  <c r="I15" i="2"/>
  <c r="J15" i="2"/>
  <c r="K15" i="2"/>
  <c r="I6" i="2"/>
  <c r="J6" i="2"/>
  <c r="K6" i="2"/>
  <c r="H6" i="2"/>
  <c r="E18" i="2" s="1"/>
  <c r="Q20" i="2" l="1"/>
  <c r="U17" i="2"/>
  <c r="Q17" i="2"/>
  <c r="R17" i="2"/>
  <c r="S17" i="2"/>
  <c r="T17" i="2"/>
  <c r="P17" i="2"/>
  <c r="Q21" i="2"/>
  <c r="Q19" i="2"/>
  <c r="W16" i="2"/>
  <c r="U16" i="2"/>
  <c r="W7" i="2"/>
  <c r="W8" i="2"/>
  <c r="W9" i="2"/>
  <c r="W10" i="2"/>
  <c r="W11" i="2"/>
  <c r="W12" i="2"/>
  <c r="W13" i="2"/>
  <c r="W14" i="2"/>
  <c r="W15" i="2"/>
  <c r="W6" i="2"/>
  <c r="U7" i="2"/>
  <c r="U8" i="2"/>
  <c r="U9" i="2"/>
  <c r="U10" i="2"/>
  <c r="U11" i="2"/>
  <c r="U12" i="2"/>
  <c r="U13" i="2"/>
  <c r="U14" i="2"/>
  <c r="U15" i="2"/>
  <c r="U6" i="2"/>
  <c r="P7" i="2"/>
  <c r="Q7" i="2"/>
  <c r="R7" i="2"/>
  <c r="S7" i="2"/>
  <c r="T7" i="2"/>
  <c r="P8" i="2"/>
  <c r="Q8" i="2"/>
  <c r="R8" i="2"/>
  <c r="S8" i="2"/>
  <c r="T8" i="2"/>
  <c r="P9" i="2"/>
  <c r="Q9" i="2"/>
  <c r="R9" i="2"/>
  <c r="S9" i="2"/>
  <c r="T9" i="2"/>
  <c r="P10" i="2"/>
  <c r="Q10" i="2"/>
  <c r="R10" i="2"/>
  <c r="S10" i="2"/>
  <c r="T10" i="2"/>
  <c r="P11" i="2"/>
  <c r="Q11" i="2"/>
  <c r="R11" i="2"/>
  <c r="S11" i="2"/>
  <c r="T11" i="2"/>
  <c r="P12" i="2"/>
  <c r="Q12" i="2"/>
  <c r="R12" i="2"/>
  <c r="S12" i="2"/>
  <c r="T12" i="2"/>
  <c r="P13" i="2"/>
  <c r="Q13" i="2"/>
  <c r="R13" i="2"/>
  <c r="S13" i="2"/>
  <c r="T13" i="2"/>
  <c r="P14" i="2"/>
  <c r="Q14" i="2"/>
  <c r="R14" i="2"/>
  <c r="S14" i="2"/>
  <c r="T14" i="2"/>
  <c r="P15" i="2"/>
  <c r="Q15" i="2"/>
  <c r="R15" i="2"/>
  <c r="S15" i="2"/>
  <c r="T15" i="2"/>
  <c r="Q6" i="2"/>
  <c r="R6" i="2"/>
  <c r="S6" i="2"/>
  <c r="T6" i="2"/>
  <c r="P6" i="2"/>
  <c r="Y64" i="2"/>
  <c r="AB64" i="2"/>
  <c r="V64" i="2"/>
  <c r="S64" i="2"/>
  <c r="P64" i="2"/>
  <c r="M64" i="2"/>
  <c r="J64" i="2"/>
  <c r="G64" i="2"/>
  <c r="D64" i="2"/>
  <c r="A64" i="2"/>
  <c r="AC61" i="2"/>
  <c r="Z61" i="2"/>
  <c r="W61" i="2"/>
  <c r="T61" i="2"/>
  <c r="Q61" i="2"/>
  <c r="N61" i="2"/>
  <c r="K61" i="2"/>
  <c r="H61" i="2"/>
  <c r="E61" i="2"/>
  <c r="B61" i="2"/>
  <c r="AC60" i="2"/>
  <c r="Z60" i="2"/>
  <c r="W60" i="2"/>
  <c r="T60" i="2"/>
  <c r="Q60" i="2"/>
  <c r="N60" i="2"/>
  <c r="K60" i="2"/>
  <c r="H60" i="2"/>
  <c r="E60" i="2"/>
  <c r="B60" i="2"/>
  <c r="Y59" i="2"/>
  <c r="Y55" i="2"/>
  <c r="Z49" i="2"/>
  <c r="Z59" i="2" s="1"/>
  <c r="Y49" i="2"/>
  <c r="AC58" i="2"/>
  <c r="AB58" i="2"/>
  <c r="AC57" i="2"/>
  <c r="AB57" i="2"/>
  <c r="AC56" i="2"/>
  <c r="AB56" i="2"/>
  <c r="AC55" i="2"/>
  <c r="AB55" i="2"/>
  <c r="AC54" i="2"/>
  <c r="AB54" i="2"/>
  <c r="AC53" i="2"/>
  <c r="AB53" i="2"/>
  <c r="AC52" i="2"/>
  <c r="AB52" i="2"/>
  <c r="AC51" i="2"/>
  <c r="AB51" i="2"/>
  <c r="AC50" i="2"/>
  <c r="AB50" i="2"/>
  <c r="AC49" i="2"/>
  <c r="AC59" i="2" s="1"/>
  <c r="AB49" i="2"/>
  <c r="AB59" i="2" s="1"/>
  <c r="Z58" i="2"/>
  <c r="Y58" i="2"/>
  <c r="Z57" i="2"/>
  <c r="Y57" i="2"/>
  <c r="Z56" i="2"/>
  <c r="Y56" i="2"/>
  <c r="Z55" i="2"/>
  <c r="Z54" i="2"/>
  <c r="Y54" i="2"/>
  <c r="Z53" i="2"/>
  <c r="Y53" i="2"/>
  <c r="Z52" i="2"/>
  <c r="Y52" i="2"/>
  <c r="Z51" i="2"/>
  <c r="Y51" i="2"/>
  <c r="Z50" i="2"/>
  <c r="Y50" i="2"/>
  <c r="W58" i="2"/>
  <c r="V58" i="2"/>
  <c r="W57" i="2"/>
  <c r="V57" i="2"/>
  <c r="W56" i="2"/>
  <c r="V56" i="2"/>
  <c r="W55" i="2"/>
  <c r="V55" i="2"/>
  <c r="W54" i="2"/>
  <c r="V54" i="2"/>
  <c r="W53" i="2"/>
  <c r="V53" i="2"/>
  <c r="W52" i="2"/>
  <c r="V52" i="2"/>
  <c r="W51" i="2"/>
  <c r="V51" i="2"/>
  <c r="W50" i="2"/>
  <c r="V50" i="2"/>
  <c r="W49" i="2"/>
  <c r="W59" i="2" s="1"/>
  <c r="V49" i="2"/>
  <c r="V59" i="2" s="1"/>
  <c r="T58" i="2"/>
  <c r="S58" i="2"/>
  <c r="T57" i="2"/>
  <c r="S57" i="2"/>
  <c r="T56" i="2"/>
  <c r="S56" i="2"/>
  <c r="T55" i="2"/>
  <c r="S55" i="2"/>
  <c r="T54" i="2"/>
  <c r="S54" i="2"/>
  <c r="T53" i="2"/>
  <c r="S53" i="2"/>
  <c r="T52" i="2"/>
  <c r="S52" i="2"/>
  <c r="T51" i="2"/>
  <c r="S51" i="2"/>
  <c r="T50" i="2"/>
  <c r="S50" i="2"/>
  <c r="T49" i="2"/>
  <c r="T59" i="2" s="1"/>
  <c r="S49" i="2"/>
  <c r="S59" i="2" s="1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Q59" i="2" s="1"/>
  <c r="P49" i="2"/>
  <c r="P59" i="2" s="1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N59" i="2" s="1"/>
  <c r="M49" i="2"/>
  <c r="M59" i="2" s="1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K59" i="2" s="1"/>
  <c r="J4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H59" i="2" s="1"/>
  <c r="G49" i="2"/>
  <c r="G59" i="2" s="1"/>
  <c r="E55" i="2"/>
  <c r="D54" i="2"/>
  <c r="D49" i="2"/>
  <c r="E58" i="2"/>
  <c r="D58" i="2"/>
  <c r="E57" i="2"/>
  <c r="D57" i="2"/>
  <c r="E56" i="2"/>
  <c r="D56" i="2"/>
  <c r="D55" i="2"/>
  <c r="E54" i="2"/>
  <c r="E53" i="2"/>
  <c r="D53" i="2"/>
  <c r="E52" i="2"/>
  <c r="D52" i="2"/>
  <c r="E51" i="2"/>
  <c r="D51" i="2"/>
  <c r="E50" i="2"/>
  <c r="D50" i="2"/>
  <c r="E49" i="2"/>
  <c r="B59" i="2"/>
  <c r="A59" i="2"/>
  <c r="A50" i="2"/>
  <c r="A51" i="2"/>
  <c r="A52" i="2"/>
  <c r="A53" i="2"/>
  <c r="A54" i="2"/>
  <c r="A55" i="2"/>
  <c r="A56" i="2"/>
  <c r="A57" i="2"/>
  <c r="A58" i="2"/>
  <c r="A49" i="2"/>
  <c r="B57" i="2"/>
  <c r="B56" i="2"/>
  <c r="B55" i="2"/>
  <c r="B53" i="2"/>
  <c r="B52" i="2"/>
  <c r="B51" i="2"/>
  <c r="B50" i="2"/>
  <c r="B54" i="2"/>
  <c r="B58" i="2"/>
  <c r="B49" i="2"/>
  <c r="E59" i="2" l="1"/>
  <c r="D59" i="2"/>
  <c r="J32" i="2"/>
  <c r="J27" i="2"/>
  <c r="J26" i="2"/>
  <c r="J25" i="2"/>
  <c r="J24" i="2"/>
  <c r="J23" i="2"/>
  <c r="J22" i="2"/>
  <c r="J21" i="2"/>
  <c r="J20" i="2"/>
  <c r="J19" i="2"/>
  <c r="J18" i="2"/>
  <c r="I19" i="2"/>
  <c r="I20" i="2"/>
  <c r="I21" i="2"/>
  <c r="I22" i="2"/>
  <c r="I23" i="2"/>
  <c r="I24" i="2"/>
  <c r="I25" i="2"/>
  <c r="I26" i="2"/>
  <c r="I27" i="2"/>
  <c r="I18" i="2"/>
  <c r="H19" i="2"/>
  <c r="H20" i="2"/>
  <c r="H21" i="2"/>
  <c r="H22" i="2"/>
  <c r="H23" i="2"/>
  <c r="H24" i="2"/>
  <c r="H25" i="2"/>
  <c r="H26" i="2"/>
  <c r="H27" i="2"/>
  <c r="H18" i="2"/>
  <c r="G19" i="2"/>
  <c r="G20" i="2"/>
  <c r="G21" i="2"/>
  <c r="G22" i="2"/>
  <c r="G23" i="2"/>
  <c r="G24" i="2"/>
  <c r="G25" i="2"/>
  <c r="G26" i="2"/>
  <c r="G27" i="2"/>
  <c r="G18" i="2"/>
  <c r="F19" i="2"/>
  <c r="F20" i="2"/>
  <c r="F21" i="2"/>
  <c r="F22" i="2"/>
  <c r="F23" i="2"/>
  <c r="F24" i="2"/>
  <c r="F25" i="2"/>
  <c r="F26" i="2"/>
  <c r="F27" i="2"/>
  <c r="F18" i="2"/>
  <c r="E19" i="2"/>
  <c r="E20" i="2"/>
  <c r="E21" i="2"/>
  <c r="E22" i="2"/>
  <c r="E23" i="2"/>
  <c r="E24" i="2"/>
  <c r="E25" i="2"/>
  <c r="E26" i="2"/>
  <c r="E27" i="2"/>
  <c r="D19" i="2"/>
  <c r="D20" i="2"/>
  <c r="D18" i="2"/>
  <c r="C19" i="2"/>
  <c r="C20" i="2"/>
  <c r="C18" i="2"/>
  <c r="B19" i="2"/>
  <c r="B18" i="2"/>
  <c r="A18" i="2"/>
  <c r="B20" i="2"/>
  <c r="A19" i="2"/>
  <c r="A20" i="2"/>
  <c r="H29" i="2" l="1"/>
  <c r="H30" i="2" s="1"/>
  <c r="H31" i="2" s="1"/>
  <c r="B21" i="2"/>
  <c r="G29" i="2"/>
  <c r="G30" i="2" s="1"/>
  <c r="G31" i="2" s="1"/>
  <c r="F29" i="2"/>
  <c r="F30" i="2" s="1"/>
  <c r="F31" i="2" s="1"/>
  <c r="J29" i="2"/>
  <c r="J30" i="2" s="1"/>
  <c r="J31" i="2" s="1"/>
  <c r="I29" i="2"/>
  <c r="I30" i="2" s="1"/>
  <c r="I31" i="2" s="1"/>
  <c r="E29" i="2"/>
  <c r="E30" i="2" s="1"/>
  <c r="E31" i="2" s="1"/>
  <c r="C21" i="2" l="1"/>
  <c r="A21" i="2"/>
  <c r="A24" i="2" s="1"/>
  <c r="D21" i="2"/>
  <c r="A23" i="2"/>
  <c r="D23" i="2"/>
  <c r="C23" i="2"/>
  <c r="B23" i="2"/>
  <c r="B24" i="2"/>
  <c r="D22" i="2"/>
  <c r="C22" i="2"/>
  <c r="B22" i="2"/>
  <c r="A22" i="2"/>
  <c r="H32" i="1"/>
  <c r="H28" i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E23" i="1"/>
  <c r="B16" i="1"/>
  <c r="C16" i="1"/>
  <c r="D16" i="1"/>
  <c r="E16" i="1"/>
  <c r="A16" i="1"/>
  <c r="C17" i="1"/>
  <c r="D17" i="1"/>
  <c r="E17" i="1"/>
  <c r="B17" i="1"/>
  <c r="A17" i="1"/>
  <c r="G6" i="1"/>
  <c r="G7" i="1"/>
  <c r="G8" i="1"/>
  <c r="G9" i="1"/>
  <c r="G10" i="1"/>
  <c r="G11" i="1"/>
  <c r="G12" i="1"/>
  <c r="G13" i="1"/>
  <c r="G14" i="1"/>
  <c r="G5" i="1"/>
  <c r="F6" i="1"/>
  <c r="F5" i="1"/>
  <c r="F14" i="1"/>
  <c r="F7" i="1"/>
  <c r="F8" i="1"/>
  <c r="F9" i="1"/>
  <c r="F10" i="1"/>
  <c r="F11" i="1"/>
  <c r="F12" i="1"/>
  <c r="F13" i="1"/>
  <c r="D24" i="2" l="1"/>
  <c r="C24" i="2"/>
  <c r="A18" i="1"/>
  <c r="N13" i="1"/>
  <c r="N9" i="1"/>
  <c r="N12" i="1"/>
  <c r="N8" i="1"/>
  <c r="N11" i="1"/>
  <c r="N7" i="1"/>
  <c r="N14" i="1"/>
  <c r="N10" i="1"/>
  <c r="N6" i="1"/>
  <c r="M13" i="1"/>
  <c r="M9" i="1"/>
  <c r="M12" i="1"/>
  <c r="M8" i="1"/>
  <c r="M11" i="1"/>
  <c r="M7" i="1"/>
  <c r="M14" i="1"/>
  <c r="M10" i="1"/>
  <c r="M6" i="1"/>
  <c r="L13" i="1"/>
  <c r="L9" i="1"/>
  <c r="L12" i="1"/>
  <c r="L8" i="1"/>
  <c r="L11" i="1"/>
  <c r="L7" i="1"/>
  <c r="L14" i="1"/>
  <c r="L10" i="1"/>
  <c r="L6" i="1"/>
  <c r="K13" i="1"/>
  <c r="K9" i="1"/>
  <c r="K12" i="1"/>
  <c r="K8" i="1"/>
  <c r="K11" i="1"/>
  <c r="K7" i="1"/>
  <c r="K14" i="1"/>
  <c r="K10" i="1"/>
  <c r="K6" i="1"/>
  <c r="M5" i="1"/>
  <c r="N5" i="1"/>
  <c r="L5" i="1"/>
  <c r="K5" i="1"/>
  <c r="I17" i="1"/>
  <c r="I16" i="1"/>
  <c r="B26" i="2" l="1"/>
  <c r="A26" i="2"/>
  <c r="D26" i="2"/>
  <c r="C26" i="2"/>
  <c r="B25" i="2"/>
  <c r="A25" i="2"/>
  <c r="D25" i="2"/>
  <c r="C25" i="2"/>
  <c r="C29" i="2" s="1"/>
  <c r="C30" i="2" s="1"/>
  <c r="C31" i="2" s="1"/>
  <c r="B27" i="2"/>
  <c r="A27" i="2"/>
  <c r="D27" i="2"/>
  <c r="C27" i="2"/>
  <c r="A20" i="1"/>
  <c r="C18" i="1"/>
  <c r="C20" i="1" s="1"/>
  <c r="E18" i="1"/>
  <c r="E20" i="1" s="1"/>
  <c r="D18" i="1"/>
  <c r="D20" i="1" s="1"/>
  <c r="B18" i="1"/>
  <c r="B20" i="1" s="1"/>
  <c r="D29" i="2" l="1"/>
  <c r="D30" i="2" s="1"/>
  <c r="D31" i="2" s="1"/>
  <c r="A29" i="2"/>
  <c r="A30" i="2" s="1"/>
  <c r="A31" i="2" s="1"/>
  <c r="B29" i="2"/>
  <c r="B30" i="2" s="1"/>
  <c r="B31" i="2" s="1"/>
  <c r="F27" i="1"/>
  <c r="A32" i="1"/>
  <c r="E27" i="1"/>
  <c r="A31" i="1"/>
  <c r="D27" i="1"/>
  <c r="A30" i="1"/>
  <c r="C27" i="1"/>
  <c r="A29" i="1"/>
  <c r="B27" i="1"/>
  <c r="A28" i="1"/>
  <c r="B21" i="1"/>
  <c r="B22" i="1"/>
  <c r="D21" i="1"/>
  <c r="D22" i="1"/>
  <c r="E21" i="1"/>
  <c r="E22" i="1"/>
  <c r="C21" i="1"/>
  <c r="C22" i="1"/>
  <c r="A21" i="1"/>
  <c r="A22" i="1"/>
  <c r="H27" i="1" l="1"/>
  <c r="H29" i="1" s="1"/>
  <c r="H30" i="1" l="1"/>
  <c r="H31" i="1"/>
</calcChain>
</file>

<file path=xl/sharedStrings.xml><?xml version="1.0" encoding="utf-8"?>
<sst xmlns="http://schemas.openxmlformats.org/spreadsheetml/2006/main" count="126" uniqueCount="61">
  <si>
    <t>μ</t>
  </si>
  <si>
    <t>σ</t>
  </si>
  <si>
    <t>a0</t>
  </si>
  <si>
    <t>a1</t>
  </si>
  <si>
    <t>a2</t>
  </si>
  <si>
    <t>a3</t>
  </si>
  <si>
    <t>a4</t>
  </si>
  <si>
    <t>a5</t>
  </si>
  <si>
    <t>M(y|x)</t>
  </si>
  <si>
    <t>Стандартное отклонение погрешности</t>
  </si>
  <si>
    <t>Случайная погрешность</t>
  </si>
  <si>
    <t>Зависимый признак Y</t>
  </si>
  <si>
    <t>Cреднее</t>
  </si>
  <si>
    <t>Дисперсия</t>
  </si>
  <si>
    <t>-</t>
  </si>
  <si>
    <t>y*x</t>
  </si>
  <si>
    <t xml:space="preserve">Ср. произведения </t>
  </si>
  <si>
    <t>Выборка</t>
  </si>
  <si>
    <t>Коэффициенты корреляции Пирсона</t>
  </si>
  <si>
    <t>Скорректировннаный коэффициент корреляции</t>
  </si>
  <si>
    <t>t-статистика</t>
  </si>
  <si>
    <t>Критическое значение t</t>
  </si>
  <si>
    <t>Матрица</t>
  </si>
  <si>
    <t>н</t>
  </si>
  <si>
    <t>н1</t>
  </si>
  <si>
    <t>Множественный коэффициент корреляции</t>
  </si>
  <si>
    <t>Скорректированный коэффициент корреляции</t>
  </si>
  <si>
    <t>Cтатистику Фишера F</t>
  </si>
  <si>
    <t>Критическая статистика Фишера F</t>
  </si>
  <si>
    <t>Вывод: множественный коэффициент корреляции значим</t>
  </si>
  <si>
    <t>n</t>
  </si>
  <si>
    <t>p</t>
  </si>
  <si>
    <t>Ранги</t>
  </si>
  <si>
    <t>1-2</t>
  </si>
  <si>
    <t>1-3</t>
  </si>
  <si>
    <t>1-4</t>
  </si>
  <si>
    <t>1-5</t>
  </si>
  <si>
    <t>2-3</t>
  </si>
  <si>
    <t>2-4</t>
  </si>
  <si>
    <t>2-5</t>
  </si>
  <si>
    <t>3-4</t>
  </si>
  <si>
    <t>3-5</t>
  </si>
  <si>
    <t>4-5</t>
  </si>
  <si>
    <t>Величина d</t>
  </si>
  <si>
    <t>Корреляция Спирмана</t>
  </si>
  <si>
    <t>Ранжированная выборка</t>
  </si>
  <si>
    <t>t-Статистика</t>
  </si>
  <si>
    <t>Критическая статистика</t>
  </si>
  <si>
    <t>Q</t>
  </si>
  <si>
    <t>P</t>
  </si>
  <si>
    <t>S=</t>
  </si>
  <si>
    <t>t</t>
  </si>
  <si>
    <t>t=</t>
  </si>
  <si>
    <t>ta=</t>
  </si>
  <si>
    <t>Сумма рангов</t>
  </si>
  <si>
    <t>Квадрат суммы рангов</t>
  </si>
  <si>
    <t>W</t>
  </si>
  <si>
    <t>Wa</t>
  </si>
  <si>
    <t>Вывод: связь между признаками не значима</t>
  </si>
  <si>
    <t>T</t>
  </si>
  <si>
    <t>скор. 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</si>
</sst>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0"/>
      <name val="Consolas"/>
      <family val="3"/>
      <charset val="204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7" borderId="1" xfId="0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9" fillId="0" borderId="0" xfId="0" applyFont="1"/>
    <xf numFmtId="0" fontId="0" fillId="0" borderId="0" xfId="0" applyBorder="1"/>
    <xf numFmtId="0" fontId="0" fillId="0" borderId="6" xfId="0" applyBorder="1"/>
    <xf numFmtId="0" fontId="2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opLeftCell="A10" zoomScale="90" zoomScaleNormal="130" workbookViewId="0">
      <selection activeCell="E20" sqref="E20:E22"/>
    </sheetView>
  </sheetViews>
  <sheetFormatPr defaultRowHeight="14.4" x14ac:dyDescent="0.3"/>
  <cols>
    <col min="1" max="1" width="13.44140625" bestFit="1" customWidth="1"/>
    <col min="2" max="3" width="13.6640625" bestFit="1" customWidth="1"/>
    <col min="4" max="4" width="14.44140625" bestFit="1" customWidth="1"/>
    <col min="5" max="5" width="13.6640625" bestFit="1" customWidth="1"/>
    <col min="6" max="6" width="11.44140625" customWidth="1"/>
    <col min="7" max="7" width="14.33203125" customWidth="1"/>
    <col min="8" max="8" width="13.44140625" bestFit="1" customWidth="1"/>
    <col min="9" max="9" width="10.6640625" customWidth="1"/>
    <col min="10" max="10" width="17.44140625" customWidth="1"/>
    <col min="12" max="12" width="10.88671875" customWidth="1"/>
    <col min="14" max="14" width="10.6640625" customWidth="1"/>
  </cols>
  <sheetData>
    <row r="1" spans="1:14" ht="15.6" x14ac:dyDescent="0.3">
      <c r="A1" s="10" t="s">
        <v>0</v>
      </c>
      <c r="B1" s="11">
        <v>0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14" ht="15.6" x14ac:dyDescent="0.3">
      <c r="A2" s="12" t="s">
        <v>1</v>
      </c>
      <c r="B2" s="11">
        <v>0.2</v>
      </c>
      <c r="C2" s="11">
        <v>1</v>
      </c>
      <c r="D2" s="11">
        <v>2</v>
      </c>
      <c r="E2" s="11">
        <v>3</v>
      </c>
      <c r="F2" s="11">
        <v>4</v>
      </c>
      <c r="G2" s="11">
        <v>5</v>
      </c>
      <c r="H2" s="11">
        <v>6</v>
      </c>
    </row>
    <row r="4" spans="1:14" ht="43.2" x14ac:dyDescent="0.3">
      <c r="A4" s="39" t="s">
        <v>17</v>
      </c>
      <c r="B4" s="39"/>
      <c r="C4" s="39"/>
      <c r="D4" s="39"/>
      <c r="E4" s="39"/>
      <c r="F4" s="4" t="s">
        <v>8</v>
      </c>
      <c r="G4" s="4" t="s">
        <v>9</v>
      </c>
      <c r="H4" s="4" t="s">
        <v>10</v>
      </c>
      <c r="I4" s="4" t="s">
        <v>11</v>
      </c>
      <c r="J4" s="38" t="s">
        <v>15</v>
      </c>
      <c r="K4" s="38"/>
      <c r="L4" s="38"/>
      <c r="M4" s="38"/>
      <c r="N4" s="38"/>
    </row>
    <row r="5" spans="1:14" x14ac:dyDescent="0.3">
      <c r="A5" s="9">
        <v>0.10096937330672517</v>
      </c>
      <c r="B5" s="9">
        <v>8.8001343101495877E-2</v>
      </c>
      <c r="C5" s="9">
        <v>0.13215912986197509</v>
      </c>
      <c r="D5" s="9">
        <v>-0.11479141903691925</v>
      </c>
      <c r="E5" s="9">
        <v>1.5276327758328989E-2</v>
      </c>
      <c r="F5" s="2">
        <f t="shared" ref="F5:F14" si="0">$C$2+($D$2*A5)+($E$2*B5)+($F$2*C5)+($G$2*D5)+($H$2*E5)</f>
        <v>1.512280166731216</v>
      </c>
      <c r="G5" s="2">
        <f>(0.2*F5)^2</f>
        <v>9.1479652107543788E-2</v>
      </c>
      <c r="H5" s="3">
        <f ca="1" xml:space="preserve"> _xlfn.NORM.INV(RAND(), 0, G5)</f>
        <v>-0.14064117095516371</v>
      </c>
      <c r="I5" s="3">
        <f ca="1">F5+H5</f>
        <v>1.3716389957760522</v>
      </c>
      <c r="J5" s="5">
        <f ca="1">I5*A5</f>
        <v>0.13849352980657384</v>
      </c>
      <c r="K5" s="5">
        <f ca="1">I5*B5</f>
        <v>0.12070607387867963</v>
      </c>
      <c r="L5" s="5">
        <f ca="1">I5*C5</f>
        <v>0.18127461616651638</v>
      </c>
      <c r="M5" s="5">
        <f ca="1">I5*D5</f>
        <v>-0.15745238673150791</v>
      </c>
      <c r="N5" s="5">
        <f ca="1">I5*E5</f>
        <v>2.0953606865580204E-2</v>
      </c>
    </row>
    <row r="6" spans="1:14" x14ac:dyDescent="0.3">
      <c r="A6" s="9">
        <v>-0.13246381058706902</v>
      </c>
      <c r="B6" s="9">
        <v>-0.32366369850933552</v>
      </c>
      <c r="C6" s="9">
        <v>-0.20899733499391004</v>
      </c>
      <c r="D6" s="9">
        <v>9.743962436914444E-2</v>
      </c>
      <c r="E6" s="9">
        <v>-0.17147158359875903</v>
      </c>
      <c r="F6" s="2">
        <f t="shared" si="0"/>
        <v>-1.6135394364246167</v>
      </c>
      <c r="G6" s="2">
        <f t="shared" ref="G6:G14" si="1">(0.2*F6)^2</f>
        <v>0.10414038051589881</v>
      </c>
      <c r="H6" s="3">
        <f t="shared" ref="H6:H14" ca="1" si="2" xml:space="preserve"> _xlfn.NORM.INV(RAND(), 0, G6)</f>
        <v>-4.1158324810139216E-2</v>
      </c>
      <c r="I6" s="3">
        <f t="shared" ref="I6:I14" ca="1" si="3">F6+H6</f>
        <v>-1.654697761234756</v>
      </c>
      <c r="J6" s="5">
        <f t="shared" ref="J6:J14" ca="1" si="4">I6*A6</f>
        <v>0.21918757082304788</v>
      </c>
      <c r="K6" s="5">
        <f t="shared" ref="K6:K14" ca="1" si="5">I6*B6</f>
        <v>0.53556559731635855</v>
      </c>
      <c r="L6" s="5">
        <f t="shared" ref="L6:L14" ca="1" si="6">I6*C6</f>
        <v>0.34582742231845326</v>
      </c>
      <c r="M6" s="5">
        <f t="shared" ref="M6:M14" ca="1" si="7">I6*D6</f>
        <v>-0.16123312829917888</v>
      </c>
      <c r="N6" s="5">
        <f t="shared" ref="N6:N14" ca="1" si="8">I6*E6</f>
        <v>0.28373364549624486</v>
      </c>
    </row>
    <row r="7" spans="1:14" x14ac:dyDescent="0.3">
      <c r="A7" s="9">
        <v>0.52891846280544996</v>
      </c>
      <c r="B7" s="9">
        <v>-0.48126821639016271</v>
      </c>
      <c r="C7" s="9">
        <v>-0.31714989745523781</v>
      </c>
      <c r="D7" s="9">
        <v>-0.17890397430164739</v>
      </c>
      <c r="E7" s="9">
        <v>0.2444758138153702</v>
      </c>
      <c r="F7" s="2">
        <f t="shared" si="0"/>
        <v>-8.2232301996555179E-2</v>
      </c>
      <c r="G7" s="2">
        <f t="shared" si="1"/>
        <v>2.7048605966610611E-4</v>
      </c>
      <c r="H7" s="3">
        <f t="shared" ca="1" si="2"/>
        <v>1.9910541780643594E-4</v>
      </c>
      <c r="I7" s="3">
        <f t="shared" ca="1" si="3"/>
        <v>-8.2033196578748746E-2</v>
      </c>
      <c r="J7" s="5">
        <f t="shared" ca="1" si="4"/>
        <v>-4.3388872233449081E-2</v>
      </c>
      <c r="K7" s="5">
        <f t="shared" ca="1" si="5"/>
        <v>3.9479970202238007E-2</v>
      </c>
      <c r="L7" s="5">
        <f t="shared" ca="1" si="6"/>
        <v>2.601681988287553E-2</v>
      </c>
      <c r="M7" s="5">
        <f t="shared" ca="1" si="7"/>
        <v>1.4676064892606455E-2</v>
      </c>
      <c r="N7" s="5">
        <f t="shared" ca="1" si="8"/>
        <v>-2.0055132493465841E-2</v>
      </c>
    </row>
    <row r="8" spans="1:14" x14ac:dyDescent="0.3">
      <c r="A8" s="9">
        <v>-0.12597865861607715</v>
      </c>
      <c r="B8" s="9">
        <v>0.25907183953677304</v>
      </c>
      <c r="C8" s="9">
        <v>1.5706064004916698E-2</v>
      </c>
      <c r="D8" s="9">
        <v>-0.43265754356980324</v>
      </c>
      <c r="E8" s="9">
        <v>0.33450123737566173</v>
      </c>
      <c r="F8" s="2">
        <f t="shared" si="0"/>
        <v>1.4318021638027858</v>
      </c>
      <c r="G8" s="2">
        <f t="shared" si="1"/>
        <v>8.2002297450813583E-2</v>
      </c>
      <c r="H8" s="3">
        <f t="shared" ca="1" si="2"/>
        <v>2.2702134142587359E-3</v>
      </c>
      <c r="I8" s="3">
        <f t="shared" ca="1" si="3"/>
        <v>1.4340723772170445</v>
      </c>
      <c r="J8" s="5">
        <f t="shared" ca="1" si="4"/>
        <v>-0.18066251444017228</v>
      </c>
      <c r="K8" s="5">
        <f t="shared" ca="1" si="5"/>
        <v>0.37152776879449279</v>
      </c>
      <c r="L8" s="5">
        <f t="shared" ca="1" si="6"/>
        <v>2.2523632544253942E-2</v>
      </c>
      <c r="M8" s="5">
        <f t="shared" ca="1" si="7"/>
        <v>-0.62046223202803474</v>
      </c>
      <c r="N8" s="5">
        <f t="shared" ca="1" si="8"/>
        <v>0.4796989846653581</v>
      </c>
    </row>
    <row r="9" spans="1:14" x14ac:dyDescent="0.3">
      <c r="A9" s="9">
        <v>0.36929759517079219</v>
      </c>
      <c r="B9" s="9">
        <v>0.33808646549005061</v>
      </c>
      <c r="C9" s="9">
        <v>0.21626647139783017</v>
      </c>
      <c r="D9" s="9">
        <v>-0.1971361598407384</v>
      </c>
      <c r="E9" s="9">
        <v>0.20148490875726566</v>
      </c>
      <c r="F9" s="2">
        <f t="shared" si="0"/>
        <v>3.8411491257429589</v>
      </c>
      <c r="G9" s="2">
        <f t="shared" si="1"/>
        <v>0.590177064247836</v>
      </c>
      <c r="H9" s="3">
        <f t="shared" ca="1" si="2"/>
        <v>-0.21356838437336367</v>
      </c>
      <c r="I9" s="3">
        <f t="shared" ca="1" si="3"/>
        <v>3.6275807413695951</v>
      </c>
      <c r="J9" s="5">
        <f t="shared" ca="1" si="4"/>
        <v>1.3396568440756709</v>
      </c>
      <c r="K9" s="5">
        <f t="shared" ca="1" si="5"/>
        <v>1.2264359511294238</v>
      </c>
      <c r="L9" s="5">
        <f t="shared" ca="1" si="6"/>
        <v>0.78452408664672713</v>
      </c>
      <c r="M9" s="5">
        <f t="shared" ca="1" si="7"/>
        <v>-0.71512733686582075</v>
      </c>
      <c r="N9" s="5">
        <f t="shared" ca="1" si="8"/>
        <v>0.73090277468446696</v>
      </c>
    </row>
    <row r="10" spans="1:14" x14ac:dyDescent="0.3">
      <c r="A10" s="9">
        <v>5.472134034789633E-2</v>
      </c>
      <c r="B10" s="9">
        <v>9.761197361513041E-2</v>
      </c>
      <c r="C10" s="9">
        <v>-3.0495357350446284E-2</v>
      </c>
      <c r="D10" s="9">
        <v>-6.1600758272106759E-2</v>
      </c>
      <c r="E10" s="9">
        <v>0.37385143514256924</v>
      </c>
      <c r="F10" s="2">
        <f t="shared" si="0"/>
        <v>3.2154019916342804</v>
      </c>
      <c r="G10" s="2">
        <f t="shared" si="1"/>
        <v>0.41355239871222799</v>
      </c>
      <c r="H10" s="3">
        <f t="shared" ca="1" si="2"/>
        <v>-0.52878027367457425</v>
      </c>
      <c r="I10" s="3">
        <f t="shared" ca="1" si="3"/>
        <v>2.6866217179597061</v>
      </c>
      <c r="J10" s="5">
        <f t="shared" ca="1" si="4"/>
        <v>0.14701554141452303</v>
      </c>
      <c r="K10" s="5">
        <f t="shared" ca="1" si="5"/>
        <v>0.26224644824731919</v>
      </c>
      <c r="L10" s="5">
        <f t="shared" ca="1" si="6"/>
        <v>-8.192948935465115E-2</v>
      </c>
      <c r="M10" s="5">
        <f t="shared" ca="1" si="7"/>
        <v>-0.16549793501662804</v>
      </c>
      <c r="N10" s="5">
        <f t="shared" ca="1" si="8"/>
        <v>1.004397384944431</v>
      </c>
    </row>
    <row r="11" spans="1:14" x14ac:dyDescent="0.3">
      <c r="A11" s="9">
        <v>-1.0538769856793806E-2</v>
      </c>
      <c r="B11" s="9">
        <v>-0.27192072593607008</v>
      </c>
      <c r="C11" s="9">
        <v>-4.2115743781323545E-2</v>
      </c>
      <c r="D11" s="9">
        <v>0.14723536878591403</v>
      </c>
      <c r="E11" s="9">
        <v>0.1548460204503499</v>
      </c>
      <c r="F11" s="2">
        <f t="shared" si="0"/>
        <v>1.6599502739845775</v>
      </c>
      <c r="G11" s="2">
        <f t="shared" si="1"/>
        <v>0.11021739648405897</v>
      </c>
      <c r="H11" s="3">
        <f t="shared" ca="1" si="2"/>
        <v>7.6392642550737577E-2</v>
      </c>
      <c r="I11" s="3">
        <f t="shared" ca="1" si="3"/>
        <v>1.736342916535315</v>
      </c>
      <c r="J11" s="5">
        <f t="shared" ca="1" si="4"/>
        <v>-1.8298918389839821E-2</v>
      </c>
      <c r="K11" s="5">
        <f t="shared" ca="1" si="5"/>
        <v>-0.47214762633823604</v>
      </c>
      <c r="L11" s="5">
        <f t="shared" ca="1" si="6"/>
        <v>-7.3127373389317379E-2</v>
      </c>
      <c r="M11" s="5">
        <f t="shared" ca="1" si="7"/>
        <v>0.25565108965488664</v>
      </c>
      <c r="N11" s="5">
        <f t="shared" ca="1" si="8"/>
        <v>0.26886579076264755</v>
      </c>
    </row>
    <row r="12" spans="1:14" x14ac:dyDescent="0.3">
      <c r="A12" s="9">
        <v>0.14071292753214948</v>
      </c>
      <c r="B12" s="9">
        <v>6.3432253227801993E-2</v>
      </c>
      <c r="C12" s="9">
        <v>5.472134034789633E-2</v>
      </c>
      <c r="D12" s="9">
        <v>-1.299076757277362E-2</v>
      </c>
      <c r="E12" s="9">
        <v>-0.12666987458942458</v>
      </c>
      <c r="F12" s="2">
        <f t="shared" si="0"/>
        <v>0.86563489073887467</v>
      </c>
      <c r="G12" s="2">
        <f t="shared" si="1"/>
        <v>2.9972950562580144E-2</v>
      </c>
      <c r="H12" s="3">
        <f t="shared" ca="1" si="2"/>
        <v>-1.5840823362074735E-2</v>
      </c>
      <c r="I12" s="3">
        <f t="shared" ca="1" si="3"/>
        <v>0.84979406737679997</v>
      </c>
      <c r="J12" s="5">
        <f t="shared" ca="1" si="4"/>
        <v>0.1195770110200422</v>
      </c>
      <c r="K12" s="5">
        <f t="shared" ca="1" si="5"/>
        <v>5.3904352473329004E-2</v>
      </c>
      <c r="L12" s="5">
        <f t="shared" ca="1" si="6"/>
        <v>4.6501870386549016E-2</v>
      </c>
      <c r="M12" s="5">
        <f t="shared" ca="1" si="7"/>
        <v>-1.1039477214013934E-2</v>
      </c>
      <c r="N12" s="5">
        <f t="shared" ca="1" si="8"/>
        <v>-0.10764330794145627</v>
      </c>
    </row>
    <row r="13" spans="1:14" x14ac:dyDescent="0.3">
      <c r="A13" s="9">
        <v>0.11618340067798272</v>
      </c>
      <c r="B13" s="9">
        <v>-4.1881094148266129E-2</v>
      </c>
      <c r="C13" s="9">
        <v>-0.42907595343422145</v>
      </c>
      <c r="D13" s="9">
        <v>0.38455800677184016</v>
      </c>
      <c r="E13" s="9">
        <v>0.21013647710788064</v>
      </c>
      <c r="F13" s="2">
        <f t="shared" si="0"/>
        <v>2.5740286016807659</v>
      </c>
      <c r="G13" s="2">
        <f t="shared" si="1"/>
        <v>0.26502492969082564</v>
      </c>
      <c r="H13" s="3">
        <f t="shared" ca="1" si="2"/>
        <v>8.3296929322548299E-2</v>
      </c>
      <c r="I13" s="3">
        <f t="shared" ca="1" si="3"/>
        <v>2.6573255310033144</v>
      </c>
      <c r="J13" s="5">
        <f t="shared" ca="1" si="4"/>
        <v>0.30873711690039124</v>
      </c>
      <c r="K13" s="5">
        <f t="shared" ca="1" si="5"/>
        <v>-0.1112917007465411</v>
      </c>
      <c r="L13" s="5">
        <f t="shared" ca="1" si="6"/>
        <v>-1.1401944858003459</v>
      </c>
      <c r="M13" s="5">
        <f t="shared" ca="1" si="7"/>
        <v>1.0218958095465562</v>
      </c>
      <c r="N13" s="5">
        <f t="shared" ca="1" si="8"/>
        <v>0.55840102561386473</v>
      </c>
    </row>
    <row r="14" spans="1:14" x14ac:dyDescent="0.3">
      <c r="A14" s="9">
        <v>-3.7589643397950567E-2</v>
      </c>
      <c r="B14" s="9">
        <v>-0.1919793248816859</v>
      </c>
      <c r="C14" s="9">
        <v>0.13944190868642181</v>
      </c>
      <c r="D14" s="9">
        <v>-2.653860065038316E-2</v>
      </c>
      <c r="E14" s="9">
        <v>0.15480463844141923</v>
      </c>
      <c r="F14" s="2">
        <f t="shared" si="0"/>
        <v>1.702785200701328</v>
      </c>
      <c r="G14" s="2">
        <f t="shared" si="1"/>
        <v>0.11597909758909848</v>
      </c>
      <c r="H14" s="3">
        <f t="shared" ca="1" si="2"/>
        <v>-3.6215189008204661E-2</v>
      </c>
      <c r="I14" s="3">
        <f t="shared" ca="1" si="3"/>
        <v>1.6665700116931232</v>
      </c>
      <c r="J14" s="5">
        <f t="shared" ca="1" si="4"/>
        <v>-6.2645772437262812E-2</v>
      </c>
      <c r="K14" s="5">
        <f t="shared" ca="1" si="5"/>
        <v>-0.31994698571290919</v>
      </c>
      <c r="L14" s="5">
        <f t="shared" ca="1" si="6"/>
        <v>0.23238970339004142</v>
      </c>
      <c r="M14" s="5">
        <f t="shared" ca="1" si="7"/>
        <v>-4.4228435996228194E-2</v>
      </c>
      <c r="N14" s="5">
        <f t="shared" ca="1" si="8"/>
        <v>0.25799276809746574</v>
      </c>
    </row>
    <row r="16" spans="1:14" x14ac:dyDescent="0.3">
      <c r="A16" s="2">
        <f>AVERAGE(A5:A14)</f>
        <v>0.10042322173831053</v>
      </c>
      <c r="B16" s="2">
        <f t="shared" ref="B16:E16" si="9">AVERAGE(B5:B14)</f>
        <v>-4.645091848942684E-2</v>
      </c>
      <c r="C16" s="2">
        <f t="shared" si="9"/>
        <v>-4.6953937271609902E-2</v>
      </c>
      <c r="D16" s="2">
        <f t="shared" si="9"/>
        <v>-3.953862233174732E-2</v>
      </c>
      <c r="E16" s="2">
        <f t="shared" si="9"/>
        <v>0.1391235400660662</v>
      </c>
      <c r="F16" s="2" t="s">
        <v>14</v>
      </c>
      <c r="G16" s="2" t="s">
        <v>14</v>
      </c>
      <c r="H16" s="2" t="s">
        <v>14</v>
      </c>
      <c r="I16" s="3">
        <f ca="1">AVERAGE(I5:I14)</f>
        <v>1.4293215401117447</v>
      </c>
      <c r="J16" s="4" t="s">
        <v>12</v>
      </c>
    </row>
    <row r="17" spans="1:12" x14ac:dyDescent="0.3">
      <c r="A17" s="2">
        <f>SUMSQ(A5:A14)/10 - (AVERAGE(A5:A14))^2</f>
        <v>3.9671649995841593E-2</v>
      </c>
      <c r="B17" s="2">
        <f>SUMSQ(B5:B14)/10 - (AVERAGE(B5:B14))^2</f>
        <v>6.3006803669646658E-2</v>
      </c>
      <c r="C17" s="2">
        <f t="shared" ref="C17:E17" si="10">SUMSQ(C5:C14)/10 - (AVERAGE(C5:C14))^2</f>
        <v>3.9594947143788549E-2</v>
      </c>
      <c r="D17" s="2">
        <f t="shared" si="10"/>
        <v>4.3933119644848154E-2</v>
      </c>
      <c r="E17" s="2">
        <f t="shared" si="10"/>
        <v>2.9624720380022167E-2</v>
      </c>
      <c r="F17" s="2" t="s">
        <v>14</v>
      </c>
      <c r="G17" s="2" t="s">
        <v>14</v>
      </c>
      <c r="H17" s="2" t="s">
        <v>14</v>
      </c>
      <c r="I17" s="3">
        <f ca="1">SUMSQ(I5:I14)/10 - (AVERAGE(I5:I14))^2</f>
        <v>2.0206260146849004</v>
      </c>
      <c r="J17" s="4" t="s">
        <v>13</v>
      </c>
    </row>
    <row r="18" spans="1:12" x14ac:dyDescent="0.3">
      <c r="A18" s="2">
        <f ca="1">AVERAGE(J5:J14)</f>
        <v>0.1967671536539525</v>
      </c>
      <c r="B18" s="2">
        <f ca="1">AVERAGE(K5:K14)</f>
        <v>0.17064798492441546</v>
      </c>
      <c r="C18" s="2">
        <f t="shared" ref="C18:E18" ca="1" si="11">AVERAGE(L5:L14)</f>
        <v>3.4380680279110197E-2</v>
      </c>
      <c r="D18" s="2">
        <f t="shared" ca="1" si="11"/>
        <v>-5.8281796805736287E-2</v>
      </c>
      <c r="E18" s="2">
        <f t="shared" ca="1" si="11"/>
        <v>0.34772475406951375</v>
      </c>
      <c r="F18" s="2" t="s">
        <v>14</v>
      </c>
      <c r="G18" s="2" t="s">
        <v>14</v>
      </c>
      <c r="H18" s="2" t="s">
        <v>14</v>
      </c>
      <c r="I18" s="2" t="s">
        <v>14</v>
      </c>
      <c r="J18" s="6" t="s">
        <v>16</v>
      </c>
    </row>
    <row r="20" spans="1:12" x14ac:dyDescent="0.3">
      <c r="A20" s="8">
        <f ca="1">(A18 - $I$16*A16) / (SQRT($I$17)*SQRT(A17))</f>
        <v>0.18800699784071936</v>
      </c>
      <c r="B20" s="32">
        <f ca="1">(B18 - $I$16*B16) / (SQRT($I$17)*SQRT(B17))</f>
        <v>0.66433524759595985</v>
      </c>
      <c r="C20" s="8">
        <f ca="1">(C18 - $I$16*C16) / (SQRT($I$17)*SQRT(C17))</f>
        <v>0.35881702423389283</v>
      </c>
      <c r="D20" s="8">
        <f t="shared" ref="D20:E20" ca="1" si="12">(D18 - $I$16*D16) / (SQRT($I$17)*SQRT(D17))</f>
        <v>-5.9352580952279372E-3</v>
      </c>
      <c r="E20" s="32">
        <f t="shared" ca="1" si="12"/>
        <v>0.60847722525607606</v>
      </c>
      <c r="F20" s="40" t="s">
        <v>18</v>
      </c>
      <c r="G20" s="40"/>
      <c r="H20" s="40"/>
      <c r="I20" s="40"/>
    </row>
    <row r="21" spans="1:12" x14ac:dyDescent="0.3">
      <c r="A21" s="8">
        <f ca="1">A20*(1 + (1 - A20^2)/(2*7))</f>
        <v>0.20096139668486601</v>
      </c>
      <c r="B21" s="32">
        <f t="shared" ref="B21:E21" ca="1" si="13">B20*(1 + (1 - B20^2)/(2*7))</f>
        <v>0.6908450084319101</v>
      </c>
      <c r="C21" s="8">
        <f t="shared" ca="1" si="13"/>
        <v>0.38114698533968233</v>
      </c>
      <c r="D21" s="8">
        <f t="shared" ca="1" si="13"/>
        <v>-6.3591901675263494E-3</v>
      </c>
      <c r="E21" s="32">
        <f t="shared" ca="1" si="13"/>
        <v>0.63584807230973672</v>
      </c>
      <c r="F21" s="40" t="s">
        <v>19</v>
      </c>
      <c r="G21" s="40"/>
      <c r="H21" s="40"/>
      <c r="I21" s="40"/>
    </row>
    <row r="22" spans="1:12" x14ac:dyDescent="0.3">
      <c r="A22" s="8">
        <f ca="1">SQRT( (A20^2 * 8) / (1 - A20^2) )</f>
        <v>0.54141884165273269</v>
      </c>
      <c r="B22" s="32">
        <f t="shared" ref="B22:E22" ca="1" si="14">SQRT( (B20^2 * 8) / (1 - B20^2) )</f>
        <v>2.513963766251873</v>
      </c>
      <c r="C22" s="8">
        <f t="shared" ca="1" si="14"/>
        <v>1.0872929011873114</v>
      </c>
      <c r="D22" s="8">
        <f t="shared" ca="1" si="14"/>
        <v>1.678774068480977E-2</v>
      </c>
      <c r="E22" s="32">
        <f t="shared" ca="1" si="14"/>
        <v>2.1687193188963358</v>
      </c>
      <c r="F22" s="40" t="s">
        <v>20</v>
      </c>
      <c r="G22" s="40"/>
      <c r="H22" s="40"/>
      <c r="I22" s="40"/>
    </row>
    <row r="23" spans="1:12" x14ac:dyDescent="0.3">
      <c r="E23" s="8">
        <f>_xlfn.T.INV(0.975,8)</f>
        <v>2.3060041352041662</v>
      </c>
      <c r="F23" s="40" t="s">
        <v>21</v>
      </c>
      <c r="G23" s="40"/>
      <c r="H23" s="40"/>
      <c r="I23" s="40"/>
    </row>
    <row r="26" spans="1:12" x14ac:dyDescent="0.3">
      <c r="A26" s="42" t="s">
        <v>22</v>
      </c>
      <c r="B26" s="42"/>
      <c r="C26" s="42"/>
      <c r="D26" s="42"/>
      <c r="E26" s="42"/>
      <c r="F26" s="42"/>
    </row>
    <row r="27" spans="1:12" x14ac:dyDescent="0.3">
      <c r="A27" s="15">
        <v>1</v>
      </c>
      <c r="B27" s="15">
        <f ca="1">A20</f>
        <v>0.18800699784071936</v>
      </c>
      <c r="C27" s="15">
        <f ca="1">B20</f>
        <v>0.66433524759595985</v>
      </c>
      <c r="D27" s="15">
        <f ca="1">C20</f>
        <v>0.35881702423389283</v>
      </c>
      <c r="E27" s="15">
        <f ca="1">D20</f>
        <v>-5.9352580952279372E-3</v>
      </c>
      <c r="F27" s="15">
        <f ca="1">E20</f>
        <v>0.60847722525607606</v>
      </c>
      <c r="H27" s="17">
        <f ca="1">MDETERM(A27:F32)</f>
        <v>3.3455515978383444E-3</v>
      </c>
      <c r="I27" s="16" t="s">
        <v>23</v>
      </c>
    </row>
    <row r="28" spans="1:12" x14ac:dyDescent="0.3">
      <c r="A28" s="15">
        <f ca="1">A20</f>
        <v>0.18800699784071936</v>
      </c>
      <c r="B28" s="15">
        <v>1</v>
      </c>
      <c r="C28" s="14">
        <v>-8.8896440401469393E-2</v>
      </c>
      <c r="D28" s="14">
        <v>-0.12690114615586931</v>
      </c>
      <c r="E28" s="14">
        <v>-0.14081445197581588</v>
      </c>
      <c r="F28" s="14">
        <v>0.19169346472195539</v>
      </c>
      <c r="H28" s="17">
        <f>MDETERM(B28:F32)</f>
        <v>0.31805337153556645</v>
      </c>
      <c r="I28" s="18" t="s">
        <v>24</v>
      </c>
    </row>
    <row r="29" spans="1:12" x14ac:dyDescent="0.3">
      <c r="A29" s="15">
        <f ca="1">B20</f>
        <v>0.66433524759595985</v>
      </c>
      <c r="B29" s="14">
        <v>-8.8896440401469393E-2</v>
      </c>
      <c r="C29" s="15">
        <v>1</v>
      </c>
      <c r="D29" s="14">
        <v>0.58147307197967679</v>
      </c>
      <c r="E29" s="14">
        <v>-0.40014633008539424</v>
      </c>
      <c r="F29" s="14">
        <v>0.24632131889485792</v>
      </c>
      <c r="H29" s="17">
        <f ca="1">SQRT(1-(ABS(H27)/ABS(H28)))</f>
        <v>0.99472667749501908</v>
      </c>
      <c r="I29" s="41" t="s">
        <v>25</v>
      </c>
      <c r="J29" s="41"/>
      <c r="K29" s="41"/>
      <c r="L29" s="41"/>
    </row>
    <row r="30" spans="1:12" x14ac:dyDescent="0.3">
      <c r="A30" s="15">
        <f ca="1">C20</f>
        <v>0.35881702423389283</v>
      </c>
      <c r="B30" s="14">
        <v>-0.12690114615586931</v>
      </c>
      <c r="C30" s="14">
        <v>0.58147307197967679</v>
      </c>
      <c r="D30" s="15">
        <v>1</v>
      </c>
      <c r="E30" s="14">
        <v>-0.52874847228268673</v>
      </c>
      <c r="F30" s="14">
        <v>-5.535749517475877E-2</v>
      </c>
      <c r="H30" s="17">
        <f ca="1">SQRT(1 - (1 - H29^2) * (10 - 1) / (10 - 5 - 1))</f>
        <v>0.98809544911948122</v>
      </c>
      <c r="I30" s="41" t="s">
        <v>26</v>
      </c>
      <c r="J30" s="41"/>
      <c r="K30" s="41"/>
      <c r="L30" s="41"/>
    </row>
    <row r="31" spans="1:12" x14ac:dyDescent="0.3">
      <c r="A31" s="15">
        <f ca="1">D20</f>
        <v>-5.9352580952279372E-3</v>
      </c>
      <c r="B31" s="14">
        <v>-0.14081445197581588</v>
      </c>
      <c r="C31" s="14">
        <v>-0.40014633008539424</v>
      </c>
      <c r="D31" s="14">
        <v>-0.52874847228268673</v>
      </c>
      <c r="E31" s="15">
        <v>1</v>
      </c>
      <c r="F31" s="14">
        <v>-0.31466596798746288</v>
      </c>
      <c r="H31" s="17">
        <f ca="1">(0.5 * H29^2) / ( (1 - H29^2) / 4 )</f>
        <v>188.1350866870896</v>
      </c>
      <c r="I31" s="41" t="s">
        <v>27</v>
      </c>
      <c r="J31" s="41"/>
      <c r="K31" s="41"/>
      <c r="L31" s="41"/>
    </row>
    <row r="32" spans="1:12" x14ac:dyDescent="0.3">
      <c r="A32" s="15">
        <f ca="1">E20</f>
        <v>0.60847722525607606</v>
      </c>
      <c r="B32" s="14">
        <v>0.19169346472195539</v>
      </c>
      <c r="C32" s="14">
        <v>0.24632131889485792</v>
      </c>
      <c r="D32" s="14">
        <v>-5.535749517475877E-2</v>
      </c>
      <c r="E32" s="14">
        <v>-0.31466596798746288</v>
      </c>
      <c r="F32" s="15">
        <v>1</v>
      </c>
      <c r="H32" s="17">
        <f xml:space="preserve"> _xlfn.F.INV(0.95, 5, 4)</f>
        <v>6.2560565021608809</v>
      </c>
      <c r="I32" s="41" t="s">
        <v>28</v>
      </c>
      <c r="J32" s="41"/>
      <c r="K32" s="41"/>
      <c r="L32" s="41"/>
    </row>
    <row r="34" spans="8:12" x14ac:dyDescent="0.3">
      <c r="H34" s="40" t="s">
        <v>29</v>
      </c>
      <c r="I34" s="40"/>
      <c r="J34" s="40"/>
      <c r="K34" s="40"/>
      <c r="L34" s="40"/>
    </row>
  </sheetData>
  <mergeCells count="12">
    <mergeCell ref="H34:L34"/>
    <mergeCell ref="F22:I22"/>
    <mergeCell ref="F23:I23"/>
    <mergeCell ref="A26:F26"/>
    <mergeCell ref="I29:L29"/>
    <mergeCell ref="I30:L30"/>
    <mergeCell ref="I31:L31"/>
    <mergeCell ref="J4:N4"/>
    <mergeCell ref="A4:E4"/>
    <mergeCell ref="F21:I21"/>
    <mergeCell ref="F20:I20"/>
    <mergeCell ref="I32:L3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28A55-27F2-4267-81DC-6D112AB1C601}">
  <dimension ref="A1:AU64"/>
  <sheetViews>
    <sheetView tabSelected="1" topLeftCell="A25" zoomScale="115" zoomScaleNormal="115" workbookViewId="0">
      <selection activeCell="A37" sqref="A37"/>
    </sheetView>
  </sheetViews>
  <sheetFormatPr defaultRowHeight="14.4" x14ac:dyDescent="0.3"/>
  <cols>
    <col min="10" max="10" width="13.44140625" bestFit="1" customWidth="1"/>
    <col min="20" max="20" width="11" bestFit="1" customWidth="1"/>
  </cols>
  <sheetData>
    <row r="1" spans="1:25" x14ac:dyDescent="0.3">
      <c r="A1" s="2" t="s">
        <v>30</v>
      </c>
      <c r="B1" s="2">
        <v>20</v>
      </c>
      <c r="N1" s="30"/>
      <c r="O1" s="29"/>
    </row>
    <row r="2" spans="1:25" x14ac:dyDescent="0.3">
      <c r="A2" s="2" t="s">
        <v>31</v>
      </c>
      <c r="B2" s="2">
        <v>0.4</v>
      </c>
      <c r="N2" s="30"/>
      <c r="O2" s="29"/>
    </row>
    <row r="3" spans="1:25" x14ac:dyDescent="0.3">
      <c r="N3" s="30"/>
      <c r="O3" s="29"/>
    </row>
    <row r="4" spans="1:25" x14ac:dyDescent="0.3">
      <c r="N4" s="30"/>
      <c r="O4" s="29"/>
    </row>
    <row r="5" spans="1:25" x14ac:dyDescent="0.3">
      <c r="A5" s="55" t="s">
        <v>17</v>
      </c>
      <c r="B5" s="55"/>
      <c r="C5" s="55"/>
      <c r="D5" s="55"/>
      <c r="E5" s="55"/>
      <c r="G5" s="59" t="s">
        <v>45</v>
      </c>
      <c r="H5" s="59"/>
      <c r="I5" s="59"/>
      <c r="J5" s="59"/>
      <c r="K5" s="59"/>
      <c r="N5" s="30"/>
      <c r="O5" s="29"/>
      <c r="P5" s="52" t="s">
        <v>32</v>
      </c>
      <c r="Q5" s="53"/>
      <c r="R5" s="53"/>
      <c r="S5" s="53"/>
      <c r="T5" s="54"/>
      <c r="U5" s="55" t="s">
        <v>54</v>
      </c>
      <c r="V5" s="55"/>
      <c r="W5" s="55" t="s">
        <v>55</v>
      </c>
      <c r="X5" s="55"/>
      <c r="Y5" s="55"/>
    </row>
    <row r="6" spans="1:25" x14ac:dyDescent="0.3">
      <c r="A6" s="21">
        <v>8</v>
      </c>
      <c r="B6" s="21">
        <v>8</v>
      </c>
      <c r="C6" s="21">
        <v>7</v>
      </c>
      <c r="D6" s="21">
        <v>5</v>
      </c>
      <c r="E6" s="21">
        <v>9</v>
      </c>
      <c r="F6" s="1"/>
      <c r="G6" s="23">
        <f>_xlfn.RANK.EQ(A6,A$6:A$15,1)</f>
        <v>6</v>
      </c>
      <c r="H6" s="23">
        <f>_xlfn.RANK.EQ(B6,B$6:B$15,1)</f>
        <v>4</v>
      </c>
      <c r="I6" s="23">
        <f t="shared" ref="I6:K6" si="0">_xlfn.RANK.EQ(C6,C$6:C$15,1)</f>
        <v>1</v>
      </c>
      <c r="J6" s="23">
        <f t="shared" si="0"/>
        <v>2</v>
      </c>
      <c r="K6" s="23">
        <f t="shared" si="0"/>
        <v>7</v>
      </c>
      <c r="N6" s="30"/>
      <c r="O6" s="29"/>
      <c r="P6" s="22">
        <f>_xlfn.RANK.AVG(A6,A$6:A$15,1)</f>
        <v>6</v>
      </c>
      <c r="Q6" s="22">
        <f t="shared" ref="Q6:T6" si="1">_xlfn.RANK.AVG(B6,B$6:B$15,1)</f>
        <v>4.5</v>
      </c>
      <c r="R6" s="22">
        <f t="shared" si="1"/>
        <v>2.5</v>
      </c>
      <c r="S6" s="22">
        <f t="shared" si="1"/>
        <v>2</v>
      </c>
      <c r="T6" s="31">
        <f t="shared" si="1"/>
        <v>7</v>
      </c>
      <c r="U6" s="41">
        <f>SUM(P6:T6)</f>
        <v>22</v>
      </c>
      <c r="V6" s="41"/>
      <c r="W6" s="48">
        <f>U6^2</f>
        <v>484</v>
      </c>
      <c r="X6" s="49"/>
      <c r="Y6" s="50"/>
    </row>
    <row r="7" spans="1:25" x14ac:dyDescent="0.3">
      <c r="A7" s="21">
        <v>5</v>
      </c>
      <c r="B7" s="21">
        <v>10</v>
      </c>
      <c r="C7" s="21">
        <v>7</v>
      </c>
      <c r="D7" s="21">
        <v>1</v>
      </c>
      <c r="E7" s="21">
        <v>12</v>
      </c>
      <c r="F7" s="1"/>
      <c r="G7" s="23">
        <f t="shared" ref="G7:G15" si="2">_xlfn.RANK.EQ(A7,A$6:A$15,1)</f>
        <v>2</v>
      </c>
      <c r="H7" s="23">
        <f t="shared" ref="H7:H15" si="3">_xlfn.RANK.EQ(B7,B$6:B$15,1)</f>
        <v>7</v>
      </c>
      <c r="I7" s="23">
        <f t="shared" ref="I7:I15" si="4">_xlfn.RANK.EQ(C7,C$6:C$15,1)</f>
        <v>1</v>
      </c>
      <c r="J7" s="23">
        <f t="shared" ref="J7:J15" si="5">_xlfn.RANK.EQ(D7,D$6:D$15,1)</f>
        <v>1</v>
      </c>
      <c r="K7" s="23">
        <f t="shared" ref="K7:K15" si="6">_xlfn.RANK.EQ(E7,E$6:E$15,1)</f>
        <v>10</v>
      </c>
      <c r="N7" s="30"/>
      <c r="O7" s="29"/>
      <c r="P7" s="22">
        <f t="shared" ref="P7:P15" si="7">_xlfn.RANK.AVG(A7,A$6:A$15,1)</f>
        <v>2</v>
      </c>
      <c r="Q7" s="22">
        <f t="shared" ref="Q7:Q15" si="8">_xlfn.RANK.AVG(B7,B$6:B$15,1)</f>
        <v>8</v>
      </c>
      <c r="R7" s="22">
        <f t="shared" ref="R7:R15" si="9">_xlfn.RANK.AVG(C7,C$6:C$15,1)</f>
        <v>2.5</v>
      </c>
      <c r="S7" s="22">
        <f t="shared" ref="S7:S15" si="10">_xlfn.RANK.AVG(D7,D$6:D$15,1)</f>
        <v>1</v>
      </c>
      <c r="T7" s="31">
        <f t="shared" ref="T7:T15" si="11">_xlfn.RANK.AVG(E7,E$6:E$15,1)</f>
        <v>10</v>
      </c>
      <c r="U7" s="41">
        <f t="shared" ref="U7:U15" si="12">SUM(P7:T7)</f>
        <v>23.5</v>
      </c>
      <c r="V7" s="41"/>
      <c r="W7" s="48">
        <f t="shared" ref="W7:W15" si="13">U7^2</f>
        <v>552.25</v>
      </c>
      <c r="X7" s="49"/>
      <c r="Y7" s="50"/>
    </row>
    <row r="8" spans="1:25" x14ac:dyDescent="0.3">
      <c r="A8" s="21">
        <v>6</v>
      </c>
      <c r="B8" s="21">
        <v>9</v>
      </c>
      <c r="C8" s="21">
        <v>9</v>
      </c>
      <c r="D8" s="21">
        <v>10</v>
      </c>
      <c r="E8" s="21">
        <v>11</v>
      </c>
      <c r="F8" s="1"/>
      <c r="G8" s="23">
        <f t="shared" si="2"/>
        <v>3</v>
      </c>
      <c r="H8" s="23">
        <f t="shared" si="3"/>
        <v>6</v>
      </c>
      <c r="I8" s="23">
        <f t="shared" si="4"/>
        <v>7</v>
      </c>
      <c r="J8" s="23">
        <f t="shared" si="5"/>
        <v>7</v>
      </c>
      <c r="K8" s="23">
        <f t="shared" si="6"/>
        <v>9</v>
      </c>
      <c r="N8" s="30"/>
      <c r="O8" s="29"/>
      <c r="P8" s="22">
        <f t="shared" si="7"/>
        <v>3</v>
      </c>
      <c r="Q8" s="22">
        <f t="shared" si="8"/>
        <v>6</v>
      </c>
      <c r="R8" s="22">
        <f t="shared" si="9"/>
        <v>7.5</v>
      </c>
      <c r="S8" s="22">
        <f t="shared" si="10"/>
        <v>7.5</v>
      </c>
      <c r="T8" s="31">
        <f t="shared" si="11"/>
        <v>9</v>
      </c>
      <c r="U8" s="41">
        <f t="shared" si="12"/>
        <v>33</v>
      </c>
      <c r="V8" s="41"/>
      <c r="W8" s="48">
        <f t="shared" si="13"/>
        <v>1089</v>
      </c>
      <c r="X8" s="49"/>
      <c r="Y8" s="50"/>
    </row>
    <row r="9" spans="1:25" x14ac:dyDescent="0.3">
      <c r="A9" s="21">
        <v>4</v>
      </c>
      <c r="B9" s="21">
        <v>7</v>
      </c>
      <c r="C9" s="21">
        <v>7</v>
      </c>
      <c r="D9" s="21">
        <v>8</v>
      </c>
      <c r="E9" s="21">
        <v>8</v>
      </c>
      <c r="F9" s="1"/>
      <c r="G9" s="23">
        <f t="shared" si="2"/>
        <v>1</v>
      </c>
      <c r="H9" s="23">
        <f t="shared" si="3"/>
        <v>3</v>
      </c>
      <c r="I9" s="23">
        <f t="shared" si="4"/>
        <v>1</v>
      </c>
      <c r="J9" s="23">
        <f t="shared" si="5"/>
        <v>5</v>
      </c>
      <c r="K9" s="23">
        <f t="shared" si="6"/>
        <v>6</v>
      </c>
      <c r="N9" s="30"/>
      <c r="O9" s="29"/>
      <c r="P9" s="22">
        <f t="shared" si="7"/>
        <v>1</v>
      </c>
      <c r="Q9" s="22">
        <f t="shared" si="8"/>
        <v>3</v>
      </c>
      <c r="R9" s="22">
        <f t="shared" si="9"/>
        <v>2.5</v>
      </c>
      <c r="S9" s="22">
        <f t="shared" si="10"/>
        <v>5.5</v>
      </c>
      <c r="T9" s="31">
        <f t="shared" si="11"/>
        <v>6</v>
      </c>
      <c r="U9" s="41">
        <f t="shared" si="12"/>
        <v>18</v>
      </c>
      <c r="V9" s="41"/>
      <c r="W9" s="48">
        <f t="shared" si="13"/>
        <v>324</v>
      </c>
      <c r="X9" s="49"/>
      <c r="Y9" s="50"/>
    </row>
    <row r="10" spans="1:25" x14ac:dyDescent="0.3">
      <c r="A10" s="21">
        <v>9</v>
      </c>
      <c r="B10" s="21">
        <v>5</v>
      </c>
      <c r="C10" s="21">
        <v>9</v>
      </c>
      <c r="D10" s="21">
        <v>13</v>
      </c>
      <c r="E10" s="21">
        <v>7</v>
      </c>
      <c r="F10" s="1"/>
      <c r="G10" s="23">
        <f t="shared" si="2"/>
        <v>7</v>
      </c>
      <c r="H10" s="23">
        <f t="shared" si="3"/>
        <v>1</v>
      </c>
      <c r="I10" s="23">
        <f t="shared" si="4"/>
        <v>7</v>
      </c>
      <c r="J10" s="23">
        <f t="shared" si="5"/>
        <v>10</v>
      </c>
      <c r="K10" s="23">
        <f t="shared" si="6"/>
        <v>3</v>
      </c>
      <c r="N10" s="30"/>
      <c r="O10" s="29"/>
      <c r="P10" s="22">
        <f t="shared" si="7"/>
        <v>8</v>
      </c>
      <c r="Q10" s="22">
        <f t="shared" si="8"/>
        <v>1</v>
      </c>
      <c r="R10" s="22">
        <f t="shared" si="9"/>
        <v>7.5</v>
      </c>
      <c r="S10" s="22">
        <f t="shared" si="10"/>
        <v>10</v>
      </c>
      <c r="T10" s="31">
        <f t="shared" si="11"/>
        <v>4</v>
      </c>
      <c r="U10" s="41">
        <f t="shared" si="12"/>
        <v>30.5</v>
      </c>
      <c r="V10" s="41"/>
      <c r="W10" s="48">
        <f t="shared" si="13"/>
        <v>930.25</v>
      </c>
      <c r="X10" s="49"/>
      <c r="Y10" s="50"/>
    </row>
    <row r="11" spans="1:25" x14ac:dyDescent="0.3">
      <c r="A11" s="21">
        <v>9</v>
      </c>
      <c r="B11" s="21">
        <v>8</v>
      </c>
      <c r="C11" s="21">
        <v>7</v>
      </c>
      <c r="D11" s="21">
        <v>6</v>
      </c>
      <c r="E11" s="21">
        <v>7</v>
      </c>
      <c r="F11" s="1"/>
      <c r="G11" s="23">
        <f t="shared" si="2"/>
        <v>7</v>
      </c>
      <c r="H11" s="23">
        <f t="shared" si="3"/>
        <v>4</v>
      </c>
      <c r="I11" s="23">
        <f t="shared" si="4"/>
        <v>1</v>
      </c>
      <c r="J11" s="23">
        <f t="shared" si="5"/>
        <v>3</v>
      </c>
      <c r="K11" s="23">
        <f t="shared" si="6"/>
        <v>3</v>
      </c>
      <c r="N11" s="30"/>
      <c r="O11" s="29"/>
      <c r="P11" s="22">
        <f t="shared" si="7"/>
        <v>8</v>
      </c>
      <c r="Q11" s="22">
        <f t="shared" si="8"/>
        <v>4.5</v>
      </c>
      <c r="R11" s="22">
        <f t="shared" si="9"/>
        <v>2.5</v>
      </c>
      <c r="S11" s="22">
        <f t="shared" si="10"/>
        <v>3</v>
      </c>
      <c r="T11" s="31">
        <f t="shared" si="11"/>
        <v>4</v>
      </c>
      <c r="U11" s="41">
        <f t="shared" si="12"/>
        <v>22</v>
      </c>
      <c r="V11" s="41"/>
      <c r="W11" s="48">
        <f t="shared" si="13"/>
        <v>484</v>
      </c>
      <c r="X11" s="49"/>
      <c r="Y11" s="50"/>
    </row>
    <row r="12" spans="1:25" x14ac:dyDescent="0.3">
      <c r="A12" s="21">
        <v>9</v>
      </c>
      <c r="B12" s="21">
        <v>12</v>
      </c>
      <c r="C12" s="21">
        <v>8</v>
      </c>
      <c r="D12" s="21">
        <v>8</v>
      </c>
      <c r="E12" s="21">
        <v>5</v>
      </c>
      <c r="F12" s="1"/>
      <c r="G12" s="23">
        <f t="shared" si="2"/>
        <v>7</v>
      </c>
      <c r="H12" s="23">
        <f t="shared" si="3"/>
        <v>10</v>
      </c>
      <c r="I12" s="23">
        <f t="shared" si="4"/>
        <v>5</v>
      </c>
      <c r="J12" s="23">
        <f t="shared" si="5"/>
        <v>5</v>
      </c>
      <c r="K12" s="23">
        <f t="shared" si="6"/>
        <v>1</v>
      </c>
      <c r="N12" s="30"/>
      <c r="O12" s="29"/>
      <c r="P12" s="22">
        <f t="shared" si="7"/>
        <v>8</v>
      </c>
      <c r="Q12" s="22">
        <f t="shared" si="8"/>
        <v>10</v>
      </c>
      <c r="R12" s="22">
        <f t="shared" si="9"/>
        <v>5.5</v>
      </c>
      <c r="S12" s="22">
        <f t="shared" si="10"/>
        <v>5.5</v>
      </c>
      <c r="T12" s="31">
        <f t="shared" si="11"/>
        <v>1</v>
      </c>
      <c r="U12" s="41">
        <f t="shared" si="12"/>
        <v>30</v>
      </c>
      <c r="V12" s="41"/>
      <c r="W12" s="48">
        <f t="shared" si="13"/>
        <v>900</v>
      </c>
      <c r="X12" s="49"/>
      <c r="Y12" s="50"/>
    </row>
    <row r="13" spans="1:25" x14ac:dyDescent="0.3">
      <c r="A13" s="21">
        <v>7</v>
      </c>
      <c r="B13" s="21">
        <v>10</v>
      </c>
      <c r="C13" s="21">
        <v>11</v>
      </c>
      <c r="D13" s="21">
        <v>12</v>
      </c>
      <c r="E13" s="21">
        <v>10</v>
      </c>
      <c r="F13" s="1"/>
      <c r="G13" s="23">
        <f t="shared" si="2"/>
        <v>4</v>
      </c>
      <c r="H13" s="23">
        <f t="shared" si="3"/>
        <v>7</v>
      </c>
      <c r="I13" s="23">
        <f t="shared" si="4"/>
        <v>9</v>
      </c>
      <c r="J13" s="23">
        <f t="shared" si="5"/>
        <v>9</v>
      </c>
      <c r="K13" s="23">
        <f t="shared" si="6"/>
        <v>8</v>
      </c>
      <c r="N13" s="30"/>
      <c r="O13" s="29"/>
      <c r="P13" s="22">
        <f t="shared" si="7"/>
        <v>4.5</v>
      </c>
      <c r="Q13" s="22">
        <f t="shared" si="8"/>
        <v>8</v>
      </c>
      <c r="R13" s="22">
        <f t="shared" si="9"/>
        <v>9.5</v>
      </c>
      <c r="S13" s="22">
        <f t="shared" si="10"/>
        <v>9</v>
      </c>
      <c r="T13" s="31">
        <f t="shared" si="11"/>
        <v>8</v>
      </c>
      <c r="U13" s="41">
        <f t="shared" si="12"/>
        <v>39</v>
      </c>
      <c r="V13" s="41"/>
      <c r="W13" s="48">
        <f t="shared" si="13"/>
        <v>1521</v>
      </c>
      <c r="X13" s="49"/>
      <c r="Y13" s="50"/>
    </row>
    <row r="14" spans="1:25" x14ac:dyDescent="0.3">
      <c r="A14" s="21">
        <v>10</v>
      </c>
      <c r="B14" s="21">
        <v>10</v>
      </c>
      <c r="C14" s="21">
        <v>8</v>
      </c>
      <c r="D14" s="21">
        <v>10</v>
      </c>
      <c r="E14" s="21">
        <v>7</v>
      </c>
      <c r="F14" s="1"/>
      <c r="G14" s="23">
        <f t="shared" si="2"/>
        <v>10</v>
      </c>
      <c r="H14" s="23">
        <f t="shared" si="3"/>
        <v>7</v>
      </c>
      <c r="I14" s="23">
        <f t="shared" si="4"/>
        <v>5</v>
      </c>
      <c r="J14" s="23">
        <f t="shared" si="5"/>
        <v>7</v>
      </c>
      <c r="K14" s="23">
        <f t="shared" si="6"/>
        <v>3</v>
      </c>
      <c r="N14" s="30"/>
      <c r="O14" s="29"/>
      <c r="P14" s="22">
        <f t="shared" si="7"/>
        <v>10</v>
      </c>
      <c r="Q14" s="22">
        <f t="shared" si="8"/>
        <v>8</v>
      </c>
      <c r="R14" s="22">
        <f t="shared" si="9"/>
        <v>5.5</v>
      </c>
      <c r="S14" s="22">
        <f t="shared" si="10"/>
        <v>7.5</v>
      </c>
      <c r="T14" s="31">
        <f t="shared" si="11"/>
        <v>4</v>
      </c>
      <c r="U14" s="41">
        <f t="shared" si="12"/>
        <v>35</v>
      </c>
      <c r="V14" s="41"/>
      <c r="W14" s="48">
        <f t="shared" si="13"/>
        <v>1225</v>
      </c>
      <c r="X14" s="49"/>
      <c r="Y14" s="50"/>
    </row>
    <row r="15" spans="1:25" x14ac:dyDescent="0.3">
      <c r="A15" s="21">
        <v>7</v>
      </c>
      <c r="B15" s="21">
        <v>6</v>
      </c>
      <c r="C15" s="21">
        <v>11</v>
      </c>
      <c r="D15" s="21">
        <v>7</v>
      </c>
      <c r="E15" s="21">
        <v>6</v>
      </c>
      <c r="F15" s="1"/>
      <c r="G15" s="23">
        <f t="shared" si="2"/>
        <v>4</v>
      </c>
      <c r="H15" s="23">
        <f t="shared" si="3"/>
        <v>2</v>
      </c>
      <c r="I15" s="23">
        <f t="shared" si="4"/>
        <v>9</v>
      </c>
      <c r="J15" s="23">
        <f t="shared" si="5"/>
        <v>4</v>
      </c>
      <c r="K15" s="23">
        <f t="shared" si="6"/>
        <v>2</v>
      </c>
      <c r="N15" s="30"/>
      <c r="O15" s="29"/>
      <c r="P15" s="35">
        <f t="shared" si="7"/>
        <v>4.5</v>
      </c>
      <c r="Q15" s="35">
        <f t="shared" si="8"/>
        <v>2</v>
      </c>
      <c r="R15" s="35">
        <f t="shared" si="9"/>
        <v>9.5</v>
      </c>
      <c r="S15" s="35">
        <f t="shared" si="10"/>
        <v>4</v>
      </c>
      <c r="T15" s="36">
        <f t="shared" si="11"/>
        <v>2</v>
      </c>
      <c r="U15" s="41">
        <f t="shared" si="12"/>
        <v>22</v>
      </c>
      <c r="V15" s="41"/>
      <c r="W15" s="48">
        <f t="shared" si="13"/>
        <v>484</v>
      </c>
      <c r="X15" s="49"/>
      <c r="Y15" s="50"/>
    </row>
    <row r="16" spans="1:25" x14ac:dyDescent="0.3">
      <c r="N16" s="29"/>
      <c r="O16" s="37" t="s">
        <v>51</v>
      </c>
      <c r="P16" s="37">
        <v>2</v>
      </c>
      <c r="Q16" s="37">
        <v>2</v>
      </c>
      <c r="R16" s="37">
        <v>10</v>
      </c>
      <c r="S16" s="37">
        <v>4</v>
      </c>
      <c r="T16" s="37">
        <v>0</v>
      </c>
      <c r="U16" s="43">
        <f>SUM(U6:V15)</f>
        <v>275</v>
      </c>
      <c r="V16" s="43"/>
      <c r="W16" s="43">
        <f>SUM(W6:Y15)</f>
        <v>7993.5</v>
      </c>
      <c r="X16" s="43"/>
      <c r="Y16" s="43"/>
    </row>
    <row r="17" spans="1:22" x14ac:dyDescent="0.3">
      <c r="A17" s="20" t="s">
        <v>33</v>
      </c>
      <c r="B17" s="20" t="s">
        <v>34</v>
      </c>
      <c r="C17" s="20" t="s">
        <v>35</v>
      </c>
      <c r="D17" s="20" t="s">
        <v>36</v>
      </c>
      <c r="E17" s="20" t="s">
        <v>37</v>
      </c>
      <c r="F17" s="20" t="s">
        <v>38</v>
      </c>
      <c r="G17" s="20" t="s">
        <v>39</v>
      </c>
      <c r="H17" s="20" t="s">
        <v>40</v>
      </c>
      <c r="I17" s="20" t="s">
        <v>41</v>
      </c>
      <c r="J17" s="20" t="s">
        <v>42</v>
      </c>
      <c r="N17" s="30"/>
      <c r="O17" s="37" t="s">
        <v>59</v>
      </c>
      <c r="P17" s="37">
        <f>P16^3 - P16</f>
        <v>6</v>
      </c>
      <c r="Q17" s="37">
        <f t="shared" ref="Q17:T17" si="14">Q16^3 - Q16</f>
        <v>6</v>
      </c>
      <c r="R17" s="37">
        <f t="shared" si="14"/>
        <v>990</v>
      </c>
      <c r="S17" s="37">
        <f t="shared" si="14"/>
        <v>60</v>
      </c>
      <c r="T17" s="37">
        <f t="shared" si="14"/>
        <v>0</v>
      </c>
      <c r="U17" s="44">
        <f>SUM(P17:T17)</f>
        <v>1062</v>
      </c>
      <c r="V17" s="44"/>
    </row>
    <row r="18" spans="1:22" x14ac:dyDescent="0.3">
      <c r="A18" s="21">
        <f xml:space="preserve"> (G6 - H6)^2</f>
        <v>4</v>
      </c>
      <c r="B18" s="21">
        <f xml:space="preserve"> (G6 - I6)^2</f>
        <v>25</v>
      </c>
      <c r="C18" s="21">
        <f xml:space="preserve"> (G6 - J6)^2</f>
        <v>16</v>
      </c>
      <c r="D18" s="21">
        <f xml:space="preserve"> (G6 - K6)^2</f>
        <v>1</v>
      </c>
      <c r="E18" s="21">
        <f xml:space="preserve"> (H6 - I6)^2</f>
        <v>9</v>
      </c>
      <c r="F18" s="21">
        <f xml:space="preserve"> (H6 - J6)^2</f>
        <v>4</v>
      </c>
      <c r="G18" s="21">
        <f xml:space="preserve"> (H6 - K6)^2</f>
        <v>9</v>
      </c>
      <c r="H18" s="21">
        <f xml:space="preserve"> (I6 - J6)^2</f>
        <v>1</v>
      </c>
      <c r="I18" s="21">
        <f xml:space="preserve"> (I6 - K6)^2</f>
        <v>36</v>
      </c>
      <c r="J18" s="21">
        <f xml:space="preserve"> (J6 - K6)^2</f>
        <v>25</v>
      </c>
      <c r="N18" s="30"/>
      <c r="O18" s="29"/>
    </row>
    <row r="19" spans="1:22" x14ac:dyDescent="0.3">
      <c r="A19" s="21">
        <f t="shared" ref="A19:A27" si="15" xml:space="preserve"> (G7 - H7)^2</f>
        <v>25</v>
      </c>
      <c r="B19" s="21">
        <f xml:space="preserve"> (G7 - I7)^2</f>
        <v>1</v>
      </c>
      <c r="C19" s="21">
        <f t="shared" ref="C19:C27" si="16" xml:space="preserve"> (G7 - J7)^2</f>
        <v>1</v>
      </c>
      <c r="D19" s="21">
        <f t="shared" ref="D19:D27" si="17" xml:space="preserve"> (G7 - K7)^2</f>
        <v>64</v>
      </c>
      <c r="E19" s="21">
        <f t="shared" ref="E19:E27" si="18" xml:space="preserve"> (H7 - I7)^2</f>
        <v>36</v>
      </c>
      <c r="F19" s="21">
        <f t="shared" ref="F19:F27" si="19" xml:space="preserve"> (H7 - J7)^2</f>
        <v>36</v>
      </c>
      <c r="G19" s="21">
        <f t="shared" ref="G19:G27" si="20" xml:space="preserve"> (H7 - K7)^2</f>
        <v>9</v>
      </c>
      <c r="H19" s="21">
        <f t="shared" ref="H19:H27" si="21" xml:space="preserve"> (I7 - J7)^2</f>
        <v>0</v>
      </c>
      <c r="I19" s="21">
        <f t="shared" ref="I19:I27" si="22" xml:space="preserve"> (I7 - K7)^2</f>
        <v>81</v>
      </c>
      <c r="J19" s="21">
        <f t="shared" ref="J19:J27" si="23" xml:space="preserve"> (J7 - K7)^2</f>
        <v>81</v>
      </c>
      <c r="N19" s="30"/>
      <c r="O19" s="29"/>
      <c r="P19" s="19" t="s">
        <v>56</v>
      </c>
      <c r="Q19" s="33">
        <f>(12*(W16-(U16^2 /10))/(25*990))</f>
        <v>0.20896969696969697</v>
      </c>
    </row>
    <row r="20" spans="1:22" x14ac:dyDescent="0.3">
      <c r="A20" s="21">
        <f t="shared" si="15"/>
        <v>9</v>
      </c>
      <c r="B20" s="21">
        <f t="shared" ref="B20:B27" si="24" xml:space="preserve"> (G8 - I8)^2</f>
        <v>16</v>
      </c>
      <c r="C20" s="21">
        <f t="shared" si="16"/>
        <v>16</v>
      </c>
      <c r="D20" s="21">
        <f t="shared" si="17"/>
        <v>36</v>
      </c>
      <c r="E20" s="21">
        <f t="shared" si="18"/>
        <v>1</v>
      </c>
      <c r="F20" s="21">
        <f t="shared" si="19"/>
        <v>1</v>
      </c>
      <c r="G20" s="21">
        <f t="shared" si="20"/>
        <v>9</v>
      </c>
      <c r="H20" s="21">
        <f t="shared" si="21"/>
        <v>0</v>
      </c>
      <c r="I20" s="21">
        <f t="shared" si="22"/>
        <v>4</v>
      </c>
      <c r="J20" s="21">
        <f t="shared" si="23"/>
        <v>4</v>
      </c>
      <c r="N20" s="30"/>
      <c r="O20" s="29"/>
      <c r="P20" s="19" t="s">
        <v>60</v>
      </c>
      <c r="Q20" s="33">
        <f>12*(W16-(U16*U16)/10)/((25*999)-(5*U17))</f>
        <v>0.26300533943554538</v>
      </c>
    </row>
    <row r="21" spans="1:22" x14ac:dyDescent="0.3">
      <c r="A21" s="21">
        <f t="shared" si="15"/>
        <v>4</v>
      </c>
      <c r="B21" s="21">
        <f t="shared" si="24"/>
        <v>0</v>
      </c>
      <c r="C21" s="21">
        <f t="shared" si="16"/>
        <v>16</v>
      </c>
      <c r="D21" s="21">
        <f t="shared" si="17"/>
        <v>25</v>
      </c>
      <c r="E21" s="21">
        <f t="shared" si="18"/>
        <v>4</v>
      </c>
      <c r="F21" s="21">
        <f t="shared" si="19"/>
        <v>4</v>
      </c>
      <c r="G21" s="21">
        <f t="shared" si="20"/>
        <v>9</v>
      </c>
      <c r="H21" s="21">
        <f t="shared" si="21"/>
        <v>16</v>
      </c>
      <c r="I21" s="21">
        <f t="shared" si="22"/>
        <v>25</v>
      </c>
      <c r="J21" s="21">
        <f t="shared" si="23"/>
        <v>1</v>
      </c>
      <c r="P21" s="34" t="s">
        <v>57</v>
      </c>
      <c r="Q21" s="34">
        <f>(_xlfn.CHISQ.INV.RT(0.05,9))/(45)</f>
        <v>0.37597728010267673</v>
      </c>
    </row>
    <row r="22" spans="1:22" x14ac:dyDescent="0.3">
      <c r="A22" s="21">
        <f t="shared" si="15"/>
        <v>36</v>
      </c>
      <c r="B22" s="21">
        <f t="shared" si="24"/>
        <v>0</v>
      </c>
      <c r="C22" s="21">
        <f t="shared" si="16"/>
        <v>9</v>
      </c>
      <c r="D22" s="21">
        <f t="shared" si="17"/>
        <v>16</v>
      </c>
      <c r="E22" s="21">
        <f t="shared" si="18"/>
        <v>36</v>
      </c>
      <c r="F22" s="21">
        <f t="shared" si="19"/>
        <v>81</v>
      </c>
      <c r="G22" s="21">
        <f t="shared" si="20"/>
        <v>4</v>
      </c>
      <c r="H22" s="21">
        <f t="shared" si="21"/>
        <v>9</v>
      </c>
      <c r="I22" s="21">
        <f t="shared" si="22"/>
        <v>16</v>
      </c>
      <c r="J22" s="21">
        <f t="shared" si="23"/>
        <v>49</v>
      </c>
      <c r="P22" s="45" t="s">
        <v>58</v>
      </c>
      <c r="Q22" s="46"/>
      <c r="R22" s="46"/>
      <c r="S22" s="46"/>
      <c r="T22" s="46"/>
      <c r="U22" s="47"/>
    </row>
    <row r="23" spans="1:22" x14ac:dyDescent="0.3">
      <c r="A23" s="21">
        <f t="shared" si="15"/>
        <v>9</v>
      </c>
      <c r="B23" s="21">
        <f t="shared" si="24"/>
        <v>36</v>
      </c>
      <c r="C23" s="21">
        <f t="shared" si="16"/>
        <v>16</v>
      </c>
      <c r="D23" s="21">
        <f t="shared" si="17"/>
        <v>16</v>
      </c>
      <c r="E23" s="21">
        <f t="shared" si="18"/>
        <v>9</v>
      </c>
      <c r="F23" s="21">
        <f t="shared" si="19"/>
        <v>1</v>
      </c>
      <c r="G23" s="21">
        <f t="shared" si="20"/>
        <v>1</v>
      </c>
      <c r="H23" s="21">
        <f t="shared" si="21"/>
        <v>4</v>
      </c>
      <c r="I23" s="21">
        <f t="shared" si="22"/>
        <v>4</v>
      </c>
      <c r="J23" s="21">
        <f t="shared" si="23"/>
        <v>0</v>
      </c>
    </row>
    <row r="24" spans="1:22" x14ac:dyDescent="0.3">
      <c r="A24" s="21">
        <f t="shared" si="15"/>
        <v>9</v>
      </c>
      <c r="B24" s="21">
        <f t="shared" si="24"/>
        <v>4</v>
      </c>
      <c r="C24" s="21">
        <f t="shared" si="16"/>
        <v>4</v>
      </c>
      <c r="D24" s="21">
        <f t="shared" si="17"/>
        <v>36</v>
      </c>
      <c r="E24" s="21">
        <f t="shared" si="18"/>
        <v>25</v>
      </c>
      <c r="F24" s="21">
        <f t="shared" si="19"/>
        <v>25</v>
      </c>
      <c r="G24" s="21">
        <f t="shared" si="20"/>
        <v>81</v>
      </c>
      <c r="H24" s="21">
        <f t="shared" si="21"/>
        <v>0</v>
      </c>
      <c r="I24" s="21">
        <f t="shared" si="22"/>
        <v>16</v>
      </c>
      <c r="J24" s="21">
        <f t="shared" si="23"/>
        <v>16</v>
      </c>
    </row>
    <row r="25" spans="1:22" x14ac:dyDescent="0.3">
      <c r="A25" s="21">
        <f t="shared" si="15"/>
        <v>9</v>
      </c>
      <c r="B25" s="21">
        <f t="shared" si="24"/>
        <v>25</v>
      </c>
      <c r="C25" s="21">
        <f t="shared" si="16"/>
        <v>25</v>
      </c>
      <c r="D25" s="21">
        <f t="shared" si="17"/>
        <v>16</v>
      </c>
      <c r="E25" s="21">
        <f t="shared" si="18"/>
        <v>4</v>
      </c>
      <c r="F25" s="21">
        <f t="shared" si="19"/>
        <v>4</v>
      </c>
      <c r="G25" s="21">
        <f t="shared" si="20"/>
        <v>1</v>
      </c>
      <c r="H25" s="21">
        <f t="shared" si="21"/>
        <v>0</v>
      </c>
      <c r="I25" s="21">
        <f t="shared" si="22"/>
        <v>1</v>
      </c>
      <c r="J25" s="21">
        <f t="shared" si="23"/>
        <v>1</v>
      </c>
    </row>
    <row r="26" spans="1:22" x14ac:dyDescent="0.3">
      <c r="A26" s="21">
        <f t="shared" si="15"/>
        <v>9</v>
      </c>
      <c r="B26" s="21">
        <f t="shared" si="24"/>
        <v>25</v>
      </c>
      <c r="C26" s="21">
        <f t="shared" si="16"/>
        <v>9</v>
      </c>
      <c r="D26" s="21">
        <f t="shared" si="17"/>
        <v>49</v>
      </c>
      <c r="E26" s="21">
        <f t="shared" si="18"/>
        <v>4</v>
      </c>
      <c r="F26" s="21">
        <f t="shared" si="19"/>
        <v>0</v>
      </c>
      <c r="G26" s="21">
        <f t="shared" si="20"/>
        <v>16</v>
      </c>
      <c r="H26" s="21">
        <f t="shared" si="21"/>
        <v>4</v>
      </c>
      <c r="I26" s="21">
        <f t="shared" si="22"/>
        <v>4</v>
      </c>
      <c r="J26" s="21">
        <f t="shared" si="23"/>
        <v>16</v>
      </c>
    </row>
    <row r="27" spans="1:22" x14ac:dyDescent="0.3">
      <c r="A27" s="21">
        <f t="shared" si="15"/>
        <v>4</v>
      </c>
      <c r="B27" s="21">
        <f t="shared" si="24"/>
        <v>25</v>
      </c>
      <c r="C27" s="21">
        <f t="shared" si="16"/>
        <v>0</v>
      </c>
      <c r="D27" s="21">
        <f t="shared" si="17"/>
        <v>4</v>
      </c>
      <c r="E27" s="21">
        <f t="shared" si="18"/>
        <v>49</v>
      </c>
      <c r="F27" s="21">
        <f t="shared" si="19"/>
        <v>4</v>
      </c>
      <c r="G27" s="21">
        <f t="shared" si="20"/>
        <v>0</v>
      </c>
      <c r="H27" s="21">
        <f t="shared" si="21"/>
        <v>25</v>
      </c>
      <c r="I27" s="21">
        <f t="shared" si="22"/>
        <v>49</v>
      </c>
      <c r="J27" s="21">
        <f t="shared" si="23"/>
        <v>4</v>
      </c>
    </row>
    <row r="29" spans="1:22" x14ac:dyDescent="0.3">
      <c r="A29" s="21">
        <f>SUM(A18:A27)</f>
        <v>118</v>
      </c>
      <c r="B29" s="21">
        <f t="shared" ref="B29:J29" si="25">SUM(B18:B27)</f>
        <v>157</v>
      </c>
      <c r="C29" s="21">
        <f t="shared" si="25"/>
        <v>112</v>
      </c>
      <c r="D29" s="21">
        <f t="shared" si="25"/>
        <v>263</v>
      </c>
      <c r="E29" s="21">
        <f t="shared" si="25"/>
        <v>177</v>
      </c>
      <c r="F29" s="21">
        <f t="shared" si="25"/>
        <v>160</v>
      </c>
      <c r="G29" s="21">
        <f t="shared" si="25"/>
        <v>139</v>
      </c>
      <c r="H29" s="32">
        <f>SUM(H18:H27)</f>
        <v>59</v>
      </c>
      <c r="I29" s="21">
        <f t="shared" si="25"/>
        <v>236</v>
      </c>
      <c r="J29" s="21">
        <f t="shared" si="25"/>
        <v>197</v>
      </c>
      <c r="K29" s="58" t="s">
        <v>43</v>
      </c>
      <c r="L29" s="58"/>
      <c r="M29" s="58"/>
    </row>
    <row r="30" spans="1:22" x14ac:dyDescent="0.3">
      <c r="A30" s="21">
        <f>1-((6*A29)/(10^3 -10))</f>
        <v>0.2848484848484848</v>
      </c>
      <c r="B30" s="21">
        <f t="shared" ref="B30:J30" si="26">1-((6*B29)/(10^3 -10))</f>
        <v>4.8484848484848464E-2</v>
      </c>
      <c r="C30" s="21">
        <f t="shared" si="26"/>
        <v>0.32121212121212117</v>
      </c>
      <c r="D30" s="21">
        <f t="shared" si="26"/>
        <v>-0.59393939393939399</v>
      </c>
      <c r="E30" s="21">
        <f t="shared" si="26"/>
        <v>-7.2727272727272751E-2</v>
      </c>
      <c r="F30" s="21">
        <f t="shared" si="26"/>
        <v>3.0303030303030276E-2</v>
      </c>
      <c r="G30" s="21">
        <f t="shared" si="26"/>
        <v>0.15757575757575759</v>
      </c>
      <c r="H30" s="32">
        <f t="shared" si="26"/>
        <v>0.64242424242424234</v>
      </c>
      <c r="I30" s="21">
        <f t="shared" si="26"/>
        <v>-0.43030303030303041</v>
      </c>
      <c r="J30" s="21">
        <f t="shared" si="26"/>
        <v>-0.19393939393939386</v>
      </c>
      <c r="K30" s="58" t="s">
        <v>44</v>
      </c>
      <c r="L30" s="58"/>
      <c r="M30" s="58"/>
    </row>
    <row r="31" spans="1:22" x14ac:dyDescent="0.3">
      <c r="A31" s="21">
        <f>ABS(A30)*SQRT(8/(1-A30^2) )</f>
        <v>0.8404926449130069</v>
      </c>
      <c r="B31" s="21">
        <f t="shared" ref="B31:I31" si="27">ABS(B30)*SQRT(8/(1-B30^2) )</f>
        <v>0.13729733349580917</v>
      </c>
      <c r="C31" s="21">
        <f t="shared" si="27"/>
        <v>0.95936441388919524</v>
      </c>
      <c r="D31" s="21">
        <f t="shared" si="27"/>
        <v>2.0881216372804459</v>
      </c>
      <c r="E31" s="21">
        <f t="shared" si="27"/>
        <v>0.20624996852875485</v>
      </c>
      <c r="F31" s="21">
        <f t="shared" si="27"/>
        <v>8.574929257125434E-2</v>
      </c>
      <c r="G31" s="21">
        <f t="shared" si="27"/>
        <v>0.45133005777133195</v>
      </c>
      <c r="H31" s="32">
        <f t="shared" si="27"/>
        <v>2.3710472437742869</v>
      </c>
      <c r="I31" s="21">
        <f t="shared" si="27"/>
        <v>1.3482903119270002</v>
      </c>
      <c r="J31" s="21">
        <f>ABS(J30)*SQRT(8/(1-J30^2) )</f>
        <v>0.55915992537394232</v>
      </c>
      <c r="K31" s="58" t="s">
        <v>46</v>
      </c>
      <c r="L31" s="58"/>
      <c r="M31" s="58"/>
    </row>
    <row r="32" spans="1:22" x14ac:dyDescent="0.3">
      <c r="J32" s="21">
        <f>_xlfn.T.INV.2T(0.05, 8)</f>
        <v>2.3060041352041671</v>
      </c>
      <c r="K32" s="58" t="s">
        <v>47</v>
      </c>
      <c r="L32" s="58"/>
      <c r="M32" s="58"/>
    </row>
    <row r="36" spans="1:29" x14ac:dyDescent="0.3">
      <c r="A36" s="56" t="s">
        <v>33</v>
      </c>
      <c r="B36" s="56"/>
      <c r="D36" s="56" t="s">
        <v>34</v>
      </c>
      <c r="E36" s="56"/>
      <c r="G36" s="56" t="s">
        <v>35</v>
      </c>
      <c r="H36" s="56"/>
      <c r="J36" s="60" t="s">
        <v>36</v>
      </c>
      <c r="K36" s="60"/>
      <c r="M36" s="56" t="s">
        <v>37</v>
      </c>
      <c r="N36" s="56"/>
      <c r="P36" s="56" t="s">
        <v>38</v>
      </c>
      <c r="Q36" s="56"/>
      <c r="S36" s="56" t="s">
        <v>39</v>
      </c>
      <c r="T36" s="56"/>
      <c r="V36" s="60" t="s">
        <v>40</v>
      </c>
      <c r="W36" s="60"/>
      <c r="Y36" s="56" t="s">
        <v>41</v>
      </c>
      <c r="Z36" s="56"/>
      <c r="AB36" s="56" t="s">
        <v>42</v>
      </c>
      <c r="AC36" s="56"/>
    </row>
    <row r="37" spans="1:29" x14ac:dyDescent="0.3">
      <c r="A37" s="22">
        <v>4</v>
      </c>
      <c r="B37" s="22">
        <v>7</v>
      </c>
      <c r="D37" s="22">
        <v>4</v>
      </c>
      <c r="E37" s="22">
        <v>7</v>
      </c>
      <c r="G37" s="22">
        <v>4</v>
      </c>
      <c r="H37" s="22">
        <v>8</v>
      </c>
      <c r="J37" s="22">
        <v>4</v>
      </c>
      <c r="K37" s="22">
        <v>8</v>
      </c>
      <c r="M37" s="22">
        <v>5</v>
      </c>
      <c r="N37" s="22">
        <v>9</v>
      </c>
      <c r="P37" s="22">
        <v>5</v>
      </c>
      <c r="Q37" s="22">
        <v>13</v>
      </c>
      <c r="S37" s="22">
        <v>5</v>
      </c>
      <c r="T37" s="22">
        <v>7</v>
      </c>
      <c r="V37" s="22">
        <v>7</v>
      </c>
      <c r="W37" s="22">
        <v>5</v>
      </c>
      <c r="Y37" s="22">
        <v>7</v>
      </c>
      <c r="Z37" s="22">
        <v>9</v>
      </c>
      <c r="AB37" s="22">
        <v>1</v>
      </c>
      <c r="AC37" s="22">
        <v>12</v>
      </c>
    </row>
    <row r="38" spans="1:29" x14ac:dyDescent="0.3">
      <c r="A38" s="22">
        <v>5</v>
      </c>
      <c r="B38" s="22">
        <v>10</v>
      </c>
      <c r="D38" s="22">
        <v>5</v>
      </c>
      <c r="E38" s="22">
        <v>7</v>
      </c>
      <c r="G38" s="22">
        <v>5</v>
      </c>
      <c r="H38" s="22">
        <v>1</v>
      </c>
      <c r="J38" s="22">
        <v>5</v>
      </c>
      <c r="K38" s="22">
        <v>12</v>
      </c>
      <c r="M38" s="22">
        <v>6</v>
      </c>
      <c r="N38" s="22">
        <v>11</v>
      </c>
      <c r="P38" s="22">
        <v>6</v>
      </c>
      <c r="Q38" s="22">
        <v>7</v>
      </c>
      <c r="S38" s="22">
        <v>6</v>
      </c>
      <c r="T38" s="22">
        <v>6</v>
      </c>
      <c r="V38" s="22">
        <v>7</v>
      </c>
      <c r="W38" s="22">
        <v>1</v>
      </c>
      <c r="Y38" s="22">
        <v>7</v>
      </c>
      <c r="Z38" s="22">
        <v>12</v>
      </c>
      <c r="AB38" s="22">
        <v>5</v>
      </c>
      <c r="AC38" s="22">
        <v>9</v>
      </c>
    </row>
    <row r="39" spans="1:29" x14ac:dyDescent="0.3">
      <c r="A39" s="22">
        <v>6</v>
      </c>
      <c r="B39" s="22">
        <v>9</v>
      </c>
      <c r="D39" s="22">
        <v>6</v>
      </c>
      <c r="E39" s="22">
        <v>9</v>
      </c>
      <c r="G39" s="22">
        <v>6</v>
      </c>
      <c r="H39" s="22">
        <v>10</v>
      </c>
      <c r="J39" s="22">
        <v>6</v>
      </c>
      <c r="K39" s="22">
        <v>11</v>
      </c>
      <c r="M39" s="22">
        <v>7</v>
      </c>
      <c r="N39" s="22">
        <v>7</v>
      </c>
      <c r="P39" s="22">
        <v>7</v>
      </c>
      <c r="Q39" s="22">
        <v>8</v>
      </c>
      <c r="S39" s="22">
        <v>7</v>
      </c>
      <c r="T39" s="22">
        <v>8</v>
      </c>
      <c r="V39" s="22">
        <v>7</v>
      </c>
      <c r="W39" s="22">
        <v>8</v>
      </c>
      <c r="Y39" s="22">
        <v>7</v>
      </c>
      <c r="Z39" s="22">
        <v>8</v>
      </c>
      <c r="AB39" s="22">
        <v>6</v>
      </c>
      <c r="AC39" s="22">
        <v>7</v>
      </c>
    </row>
    <row r="40" spans="1:29" x14ac:dyDescent="0.3">
      <c r="A40" s="22">
        <v>7</v>
      </c>
      <c r="B40" s="22">
        <v>10</v>
      </c>
      <c r="D40" s="22">
        <v>7</v>
      </c>
      <c r="E40" s="22">
        <v>11</v>
      </c>
      <c r="G40" s="22">
        <v>7</v>
      </c>
      <c r="H40" s="22">
        <v>12</v>
      </c>
      <c r="J40" s="22">
        <v>7</v>
      </c>
      <c r="K40" s="22">
        <v>10</v>
      </c>
      <c r="M40" s="22">
        <v>8</v>
      </c>
      <c r="N40" s="22">
        <v>7</v>
      </c>
      <c r="P40" s="22">
        <v>8</v>
      </c>
      <c r="Q40" s="22">
        <v>5</v>
      </c>
      <c r="S40" s="22">
        <v>8</v>
      </c>
      <c r="T40" s="22">
        <v>9</v>
      </c>
      <c r="V40" s="22">
        <v>7</v>
      </c>
      <c r="W40" s="22">
        <v>6</v>
      </c>
      <c r="Y40" s="22">
        <v>7</v>
      </c>
      <c r="Z40" s="22">
        <v>7</v>
      </c>
      <c r="AB40" s="22">
        <v>7</v>
      </c>
      <c r="AC40" s="22">
        <v>6</v>
      </c>
    </row>
    <row r="41" spans="1:29" x14ac:dyDescent="0.3">
      <c r="A41" s="22">
        <v>7</v>
      </c>
      <c r="B41" s="22">
        <v>6</v>
      </c>
      <c r="D41" s="22">
        <v>7</v>
      </c>
      <c r="E41" s="22">
        <v>11</v>
      </c>
      <c r="G41" s="22">
        <v>7</v>
      </c>
      <c r="H41" s="22">
        <v>7</v>
      </c>
      <c r="J41" s="22">
        <v>7</v>
      </c>
      <c r="K41" s="22">
        <v>6</v>
      </c>
      <c r="M41" s="22">
        <v>8</v>
      </c>
      <c r="N41" s="22">
        <v>7</v>
      </c>
      <c r="P41" s="22">
        <v>8</v>
      </c>
      <c r="Q41" s="22">
        <v>6</v>
      </c>
      <c r="S41" s="22">
        <v>8</v>
      </c>
      <c r="T41" s="22">
        <v>7</v>
      </c>
      <c r="V41" s="22">
        <v>8</v>
      </c>
      <c r="W41" s="22">
        <v>8</v>
      </c>
      <c r="Y41" s="22">
        <v>8</v>
      </c>
      <c r="Z41" s="22">
        <v>5</v>
      </c>
      <c r="AB41" s="22">
        <v>8</v>
      </c>
      <c r="AC41" s="22">
        <v>8</v>
      </c>
    </row>
    <row r="42" spans="1:29" x14ac:dyDescent="0.3">
      <c r="A42" s="22">
        <v>8</v>
      </c>
      <c r="B42" s="22">
        <v>8</v>
      </c>
      <c r="D42" s="22">
        <v>8</v>
      </c>
      <c r="E42" s="22">
        <v>7</v>
      </c>
      <c r="G42" s="22">
        <v>8</v>
      </c>
      <c r="H42" s="22">
        <v>5</v>
      </c>
      <c r="J42" s="22">
        <v>8</v>
      </c>
      <c r="K42" s="22">
        <v>9</v>
      </c>
      <c r="M42" s="22">
        <v>9</v>
      </c>
      <c r="N42" s="22">
        <v>9</v>
      </c>
      <c r="P42" s="22">
        <v>9</v>
      </c>
      <c r="Q42" s="22">
        <v>10</v>
      </c>
      <c r="S42" s="22">
        <v>9</v>
      </c>
      <c r="T42" s="22">
        <v>11</v>
      </c>
      <c r="V42" s="22">
        <v>8</v>
      </c>
      <c r="W42" s="22">
        <v>10</v>
      </c>
      <c r="Y42" s="22">
        <v>8</v>
      </c>
      <c r="Z42" s="22">
        <v>7</v>
      </c>
      <c r="AB42" s="22">
        <v>8</v>
      </c>
      <c r="AC42" s="22">
        <v>5</v>
      </c>
    </row>
    <row r="43" spans="1:29" x14ac:dyDescent="0.3">
      <c r="A43" s="22">
        <v>9</v>
      </c>
      <c r="B43" s="22">
        <v>5</v>
      </c>
      <c r="D43" s="22">
        <v>9</v>
      </c>
      <c r="E43" s="22">
        <v>9</v>
      </c>
      <c r="G43" s="22">
        <v>9</v>
      </c>
      <c r="H43" s="22">
        <v>13</v>
      </c>
      <c r="J43" s="22">
        <v>9</v>
      </c>
      <c r="K43" s="22">
        <v>7</v>
      </c>
      <c r="M43" s="22">
        <v>10</v>
      </c>
      <c r="N43" s="22">
        <v>7</v>
      </c>
      <c r="P43" s="22">
        <v>10</v>
      </c>
      <c r="Q43" s="22">
        <v>1</v>
      </c>
      <c r="S43" s="22">
        <v>10</v>
      </c>
      <c r="T43" s="22">
        <v>12</v>
      </c>
      <c r="V43" s="22">
        <v>9</v>
      </c>
      <c r="W43" s="22">
        <v>10</v>
      </c>
      <c r="Y43" s="22">
        <v>9</v>
      </c>
      <c r="Z43" s="22">
        <v>11</v>
      </c>
      <c r="AB43" s="22">
        <v>10</v>
      </c>
      <c r="AC43" s="22">
        <v>11</v>
      </c>
    </row>
    <row r="44" spans="1:29" x14ac:dyDescent="0.3">
      <c r="A44" s="22">
        <v>9</v>
      </c>
      <c r="B44" s="22">
        <v>8</v>
      </c>
      <c r="D44" s="22">
        <v>9</v>
      </c>
      <c r="E44" s="22">
        <v>7</v>
      </c>
      <c r="G44" s="22">
        <v>9</v>
      </c>
      <c r="H44" s="22">
        <v>6</v>
      </c>
      <c r="J44" s="22">
        <v>9</v>
      </c>
      <c r="K44" s="22">
        <v>7</v>
      </c>
      <c r="M44" s="22">
        <v>10</v>
      </c>
      <c r="N44" s="22">
        <v>11</v>
      </c>
      <c r="P44" s="22">
        <v>10</v>
      </c>
      <c r="Q44" s="22">
        <v>12</v>
      </c>
      <c r="S44" s="22">
        <v>10</v>
      </c>
      <c r="T44" s="22">
        <v>10</v>
      </c>
      <c r="V44" s="22">
        <v>9</v>
      </c>
      <c r="W44" s="22">
        <v>13</v>
      </c>
      <c r="Y44" s="22">
        <v>9</v>
      </c>
      <c r="Z44" s="22">
        <v>7</v>
      </c>
      <c r="AB44" s="22">
        <v>10</v>
      </c>
      <c r="AC44" s="22">
        <v>7</v>
      </c>
    </row>
    <row r="45" spans="1:29" x14ac:dyDescent="0.3">
      <c r="A45" s="22">
        <v>9</v>
      </c>
      <c r="B45" s="22">
        <v>12</v>
      </c>
      <c r="D45" s="22">
        <v>9</v>
      </c>
      <c r="E45" s="22">
        <v>8</v>
      </c>
      <c r="G45" s="22">
        <v>9</v>
      </c>
      <c r="H45" s="22">
        <v>8</v>
      </c>
      <c r="J45" s="22">
        <v>9</v>
      </c>
      <c r="K45" s="22">
        <v>5</v>
      </c>
      <c r="M45" s="22">
        <v>10</v>
      </c>
      <c r="N45" s="22">
        <v>8</v>
      </c>
      <c r="P45" s="22">
        <v>10</v>
      </c>
      <c r="Q45" s="22">
        <v>10</v>
      </c>
      <c r="S45" s="22">
        <v>10</v>
      </c>
      <c r="T45" s="22">
        <v>7</v>
      </c>
      <c r="V45" s="22">
        <v>11</v>
      </c>
      <c r="W45" s="22">
        <v>12</v>
      </c>
      <c r="Y45" s="22">
        <v>11</v>
      </c>
      <c r="Z45" s="22">
        <v>10</v>
      </c>
      <c r="AB45" s="22">
        <v>12</v>
      </c>
      <c r="AC45" s="22">
        <v>10</v>
      </c>
    </row>
    <row r="46" spans="1:29" x14ac:dyDescent="0.3">
      <c r="A46" s="22">
        <v>10</v>
      </c>
      <c r="B46" s="22">
        <v>10</v>
      </c>
      <c r="D46" s="22">
        <v>10</v>
      </c>
      <c r="E46" s="22">
        <v>8</v>
      </c>
      <c r="G46" s="22">
        <v>10</v>
      </c>
      <c r="H46" s="22">
        <v>10</v>
      </c>
      <c r="J46" s="22">
        <v>10</v>
      </c>
      <c r="K46" s="22">
        <v>7</v>
      </c>
      <c r="M46" s="22">
        <v>12</v>
      </c>
      <c r="N46" s="22">
        <v>8</v>
      </c>
      <c r="P46" s="22">
        <v>12</v>
      </c>
      <c r="Q46" s="22">
        <v>8</v>
      </c>
      <c r="S46" s="22">
        <v>12</v>
      </c>
      <c r="T46" s="22">
        <v>5</v>
      </c>
      <c r="V46" s="22">
        <v>11</v>
      </c>
      <c r="W46" s="22">
        <v>7</v>
      </c>
      <c r="Y46" s="22">
        <v>11</v>
      </c>
      <c r="Z46" s="22">
        <v>6</v>
      </c>
      <c r="AB46" s="22">
        <v>13</v>
      </c>
      <c r="AC46" s="22">
        <v>7</v>
      </c>
    </row>
    <row r="48" spans="1:29" x14ac:dyDescent="0.3">
      <c r="A48" s="7" t="s">
        <v>48</v>
      </c>
      <c r="B48" s="7" t="s">
        <v>49</v>
      </c>
      <c r="D48" s="7" t="s">
        <v>48</v>
      </c>
      <c r="E48" s="7" t="s">
        <v>49</v>
      </c>
      <c r="G48" s="7" t="s">
        <v>48</v>
      </c>
      <c r="H48" s="7" t="s">
        <v>49</v>
      </c>
      <c r="J48" s="7" t="s">
        <v>48</v>
      </c>
      <c r="K48" s="7" t="s">
        <v>49</v>
      </c>
      <c r="M48" s="7" t="s">
        <v>48</v>
      </c>
      <c r="N48" s="7" t="s">
        <v>49</v>
      </c>
      <c r="P48" s="7" t="s">
        <v>48</v>
      </c>
      <c r="Q48" s="7" t="s">
        <v>49</v>
      </c>
      <c r="S48" s="7" t="s">
        <v>48</v>
      </c>
      <c r="T48" s="7" t="s">
        <v>49</v>
      </c>
      <c r="V48" s="7" t="s">
        <v>48</v>
      </c>
      <c r="W48" s="7" t="s">
        <v>49</v>
      </c>
      <c r="Y48" s="7" t="s">
        <v>48</v>
      </c>
      <c r="Z48" s="7" t="s">
        <v>49</v>
      </c>
      <c r="AB48" s="7" t="s">
        <v>48</v>
      </c>
      <c r="AC48" s="7" t="s">
        <v>49</v>
      </c>
    </row>
    <row r="49" spans="1:47" x14ac:dyDescent="0.3">
      <c r="A49" s="26">
        <f>COUNTIF(B38:B$46,"&lt;"&amp;B37)</f>
        <v>2</v>
      </c>
      <c r="B49" s="26">
        <f>COUNTIF(B38:B$46,"&gt;"&amp;B37)</f>
        <v>7</v>
      </c>
      <c r="D49" s="26">
        <f>COUNTIF(E38:E$46,"&lt;"&amp;E37)</f>
        <v>0</v>
      </c>
      <c r="E49" s="26">
        <f>COUNTIF(E38:E$46,"&gt;"&amp;E37)</f>
        <v>6</v>
      </c>
      <c r="F49" s="24"/>
      <c r="G49" s="26">
        <f>COUNTIF(H38:H$46,"&lt;"&amp;H37)</f>
        <v>4</v>
      </c>
      <c r="H49" s="26">
        <f>COUNTIF(H38:H$46,"&gt;"&amp;H37)</f>
        <v>4</v>
      </c>
      <c r="I49" s="24"/>
      <c r="J49" s="26">
        <f>COUNTIF(K38:K$46,"&lt;"&amp;K37)</f>
        <v>5</v>
      </c>
      <c r="K49" s="26">
        <f>COUNTIF(K38:K$46,"&gt;"&amp;K37)</f>
        <v>4</v>
      </c>
      <c r="L49" s="24"/>
      <c r="M49" s="26">
        <f>COUNTIF(N38:N$46,"&lt;"&amp;N37)</f>
        <v>6</v>
      </c>
      <c r="N49" s="26">
        <f>COUNTIF(N38:N$46,"&gt;"&amp;N37)</f>
        <v>2</v>
      </c>
      <c r="O49" s="24"/>
      <c r="P49" s="26">
        <f>COUNTIF(Q38:Q$46,"&lt;"&amp;Q37)</f>
        <v>9</v>
      </c>
      <c r="Q49" s="26">
        <f>COUNTIF(Q38:Q$46,"&gt;"&amp;Q37)</f>
        <v>0</v>
      </c>
      <c r="R49" s="24"/>
      <c r="S49" s="26">
        <f>COUNTIF(T38:T$46,"&lt;"&amp;T37)</f>
        <v>2</v>
      </c>
      <c r="T49" s="26">
        <f>COUNTIF(T38:T$46,"&gt;"&amp;T37)</f>
        <v>5</v>
      </c>
      <c r="U49" s="24"/>
      <c r="V49" s="26">
        <f>COUNTIF(W38:W$46,"&lt;"&amp;W37)</f>
        <v>1</v>
      </c>
      <c r="W49" s="26">
        <f>COUNTIF(W38:W$46,"&gt;"&amp;W37)</f>
        <v>8</v>
      </c>
      <c r="X49" s="24"/>
      <c r="Y49" s="26">
        <f>COUNTIF(Z38:Z$46,"&lt;"&amp;Z37)</f>
        <v>6</v>
      </c>
      <c r="Z49" s="26">
        <f>COUNTIF(Z38:Z$46,"&gt;"&amp;Z37)</f>
        <v>3</v>
      </c>
      <c r="AA49" s="24"/>
      <c r="AB49" s="26">
        <f>COUNTIF(AC38:AC$46,"&lt;"&amp;AC37)</f>
        <v>9</v>
      </c>
      <c r="AC49" s="26">
        <f>COUNTIF(AC38:AC$46,"&gt;"&amp;AC37)</f>
        <v>0</v>
      </c>
    </row>
    <row r="50" spans="1:47" x14ac:dyDescent="0.3">
      <c r="A50" s="26">
        <f>COUNTIF(B39:B$46,"&lt;"&amp;B38)</f>
        <v>5</v>
      </c>
      <c r="B50" s="26">
        <f>COUNTIF(B39:B$46,"&gt;"&amp;B38)</f>
        <v>1</v>
      </c>
      <c r="D50" s="26">
        <f>COUNTIF(E39:E$46,"&lt;"&amp;E38)</f>
        <v>0</v>
      </c>
      <c r="E50" s="26">
        <f>COUNTIF(E39:E$46,"&gt;"&amp;E38)</f>
        <v>6</v>
      </c>
      <c r="F50" s="24"/>
      <c r="G50" s="26">
        <f>COUNTIF(H39:H$46,"&lt;"&amp;H38)</f>
        <v>0</v>
      </c>
      <c r="H50" s="26">
        <f>COUNTIF(H39:H$46,"&gt;"&amp;H38)</f>
        <v>8</v>
      </c>
      <c r="I50" s="24"/>
      <c r="J50" s="26">
        <f>COUNTIF(K39:K$46,"&lt;"&amp;K38)</f>
        <v>8</v>
      </c>
      <c r="K50" s="26">
        <f>COUNTIF(K39:K$46,"&gt;"&amp;K38)</f>
        <v>0</v>
      </c>
      <c r="L50" s="24"/>
      <c r="M50" s="26">
        <f>COUNTIF(N39:N$46,"&lt;"&amp;N38)</f>
        <v>7</v>
      </c>
      <c r="N50" s="26">
        <f>COUNTIF(N39:N$46,"&gt;"&amp;N38)</f>
        <v>0</v>
      </c>
      <c r="O50" s="24"/>
      <c r="P50" s="26">
        <f>COUNTIF(Q39:Q$46,"&lt;"&amp;Q38)</f>
        <v>3</v>
      </c>
      <c r="Q50" s="26">
        <f>COUNTIF(Q39:Q$46,"&gt;"&amp;Q38)</f>
        <v>5</v>
      </c>
      <c r="R50" s="24"/>
      <c r="S50" s="26">
        <f>COUNTIF(T39:T$46,"&lt;"&amp;T38)</f>
        <v>1</v>
      </c>
      <c r="T50" s="26">
        <f>COUNTIF(T39:T$46,"&gt;"&amp;T38)</f>
        <v>7</v>
      </c>
      <c r="U50" s="24"/>
      <c r="V50" s="26">
        <f>COUNTIF(W39:W$46,"&lt;"&amp;W38)</f>
        <v>0</v>
      </c>
      <c r="W50" s="26">
        <f>COUNTIF(W39:W$46,"&gt;"&amp;W38)</f>
        <v>8</v>
      </c>
      <c r="X50" s="24"/>
      <c r="Y50" s="26">
        <f>COUNTIF(Z39:Z$46,"&lt;"&amp;Z38)</f>
        <v>8</v>
      </c>
      <c r="Z50" s="26">
        <f>COUNTIF(Z39:Z$46,"&gt;"&amp;Z38)</f>
        <v>0</v>
      </c>
      <c r="AA50" s="24"/>
      <c r="AB50" s="26">
        <f>COUNTIF(AC39:AC$46,"&lt;"&amp;AC38)</f>
        <v>6</v>
      </c>
      <c r="AC50" s="26">
        <f>COUNTIF(AC39:AC$46,"&gt;"&amp;AC38)</f>
        <v>2</v>
      </c>
    </row>
    <row r="51" spans="1:47" x14ac:dyDescent="0.3">
      <c r="A51" s="26">
        <f>COUNTIF(B40:B$46,"&lt;"&amp;B39)</f>
        <v>4</v>
      </c>
      <c r="B51" s="26">
        <f>COUNTIF(B40:B$46,"&gt;"&amp;B39)</f>
        <v>3</v>
      </c>
      <c r="D51" s="26">
        <f>COUNTIF(E40:E$46,"&lt;"&amp;E39)</f>
        <v>4</v>
      </c>
      <c r="E51" s="26">
        <f>COUNTIF(E40:E$46,"&gt;"&amp;E39)</f>
        <v>2</v>
      </c>
      <c r="F51" s="24"/>
      <c r="G51" s="26">
        <f>COUNTIF(H40:H$46,"&lt;"&amp;H39)</f>
        <v>4</v>
      </c>
      <c r="H51" s="26">
        <f>COUNTIF(H40:H$46,"&gt;"&amp;H39)</f>
        <v>2</v>
      </c>
      <c r="I51" s="24"/>
      <c r="J51" s="26">
        <f>COUNTIF(K40:K$46,"&lt;"&amp;K39)</f>
        <v>7</v>
      </c>
      <c r="K51" s="26">
        <f>COUNTIF(K40:K$46,"&gt;"&amp;K39)</f>
        <v>0</v>
      </c>
      <c r="L51" s="24"/>
      <c r="M51" s="26">
        <f>COUNTIF(N40:N$46,"&lt;"&amp;N39)</f>
        <v>0</v>
      </c>
      <c r="N51" s="26">
        <f>COUNTIF(N40:N$46,"&gt;"&amp;N39)</f>
        <v>4</v>
      </c>
      <c r="O51" s="24"/>
      <c r="P51" s="26">
        <f>COUNTIF(Q40:Q$46,"&lt;"&amp;Q39)</f>
        <v>3</v>
      </c>
      <c r="Q51" s="26">
        <f>COUNTIF(Q40:Q$46,"&gt;"&amp;Q39)</f>
        <v>3</v>
      </c>
      <c r="R51" s="24"/>
      <c r="S51" s="26">
        <f>COUNTIF(T40:T$46,"&lt;"&amp;T39)</f>
        <v>3</v>
      </c>
      <c r="T51" s="26">
        <f>COUNTIF(T40:T$46,"&gt;"&amp;T39)</f>
        <v>4</v>
      </c>
      <c r="U51" s="24"/>
      <c r="V51" s="26">
        <f>COUNTIF(W40:W$46,"&lt;"&amp;W39)</f>
        <v>2</v>
      </c>
      <c r="W51" s="26">
        <f>COUNTIF(W40:W$46,"&gt;"&amp;W39)</f>
        <v>4</v>
      </c>
      <c r="X51" s="24"/>
      <c r="Y51" s="26">
        <f>COUNTIF(Z40:Z$46,"&lt;"&amp;Z39)</f>
        <v>5</v>
      </c>
      <c r="Z51" s="26">
        <f>COUNTIF(Z40:Z$46,"&gt;"&amp;Z39)</f>
        <v>2</v>
      </c>
      <c r="AA51" s="24"/>
      <c r="AB51" s="26">
        <f>COUNTIF(AC40:AC$46,"&lt;"&amp;AC39)</f>
        <v>2</v>
      </c>
      <c r="AC51" s="26">
        <f>COUNTIF(AC40:AC$46,"&gt;"&amp;AC39)</f>
        <v>3</v>
      </c>
    </row>
    <row r="52" spans="1:47" x14ac:dyDescent="0.3">
      <c r="A52" s="26">
        <f>COUNTIF(B41:B$46,"&lt;"&amp;B40)</f>
        <v>4</v>
      </c>
      <c r="B52" s="26">
        <f>COUNTIF(B41:B$46,"&gt;"&amp;B40)</f>
        <v>1</v>
      </c>
      <c r="D52" s="26">
        <f>COUNTIF(E41:E$46,"&lt;"&amp;E40)</f>
        <v>5</v>
      </c>
      <c r="E52" s="26">
        <f>COUNTIF(E41:E$46,"&gt;"&amp;E40)</f>
        <v>0</v>
      </c>
      <c r="F52" s="24"/>
      <c r="G52" s="26">
        <f>COUNTIF(H41:H$46,"&lt;"&amp;H40)</f>
        <v>5</v>
      </c>
      <c r="H52" s="26">
        <f>COUNTIF(H41:H$46,"&gt;"&amp;H40)</f>
        <v>1</v>
      </c>
      <c r="I52" s="24"/>
      <c r="J52" s="26">
        <f>COUNTIF(K41:K$46,"&lt;"&amp;K40)</f>
        <v>6</v>
      </c>
      <c r="K52" s="26">
        <f>COUNTIF(K41:K$46,"&gt;"&amp;K40)</f>
        <v>0</v>
      </c>
      <c r="L52" s="24"/>
      <c r="M52" s="26">
        <f>COUNTIF(N41:N$46,"&lt;"&amp;N40)</f>
        <v>0</v>
      </c>
      <c r="N52" s="26">
        <f>COUNTIF(N41:N$46,"&gt;"&amp;N40)</f>
        <v>4</v>
      </c>
      <c r="O52" s="24"/>
      <c r="P52" s="26">
        <f>COUNTIF(Q41:Q$46,"&lt;"&amp;Q40)</f>
        <v>1</v>
      </c>
      <c r="Q52" s="26">
        <f>COUNTIF(Q41:Q$46,"&gt;"&amp;Q40)</f>
        <v>5</v>
      </c>
      <c r="R52" s="24"/>
      <c r="S52" s="26">
        <f>COUNTIF(T41:T$46,"&lt;"&amp;T40)</f>
        <v>3</v>
      </c>
      <c r="T52" s="26">
        <f>COUNTIF(T41:T$46,"&gt;"&amp;T40)</f>
        <v>3</v>
      </c>
      <c r="U52" s="24"/>
      <c r="V52" s="26">
        <f>COUNTIF(W41:W$46,"&lt;"&amp;W40)</f>
        <v>0</v>
      </c>
      <c r="W52" s="26">
        <f>COUNTIF(W41:W$46,"&gt;"&amp;W40)</f>
        <v>6</v>
      </c>
      <c r="X52" s="24"/>
      <c r="Y52" s="26">
        <f>COUNTIF(Z41:Z$46,"&lt;"&amp;Z40)</f>
        <v>2</v>
      </c>
      <c r="Z52" s="26">
        <f>COUNTIF(Z41:Z$46,"&gt;"&amp;Z40)</f>
        <v>2</v>
      </c>
      <c r="AA52" s="24"/>
      <c r="AB52" s="26">
        <f>COUNTIF(AC41:AC$46,"&lt;"&amp;AC40)</f>
        <v>1</v>
      </c>
      <c r="AC52" s="26">
        <f>COUNTIF(AC41:AC$46,"&gt;"&amp;AC40)</f>
        <v>5</v>
      </c>
    </row>
    <row r="53" spans="1:47" x14ac:dyDescent="0.3">
      <c r="A53" s="26">
        <f>COUNTIF(B42:B$46,"&lt;"&amp;B41)</f>
        <v>1</v>
      </c>
      <c r="B53" s="26">
        <f>COUNTIF(B42:B$46,"&gt;"&amp;B41)</f>
        <v>4</v>
      </c>
      <c r="D53" s="26">
        <f>COUNTIF(E42:E$46,"&lt;"&amp;E41)</f>
        <v>5</v>
      </c>
      <c r="E53" s="26">
        <f>COUNTIF(E42:E$46,"&gt;"&amp;E41)</f>
        <v>0</v>
      </c>
      <c r="F53" s="24"/>
      <c r="G53" s="26">
        <f>COUNTIF(H42:H$46,"&lt;"&amp;H41)</f>
        <v>2</v>
      </c>
      <c r="H53" s="26">
        <f>COUNTIF(H42:H$46,"&gt;"&amp;H41)</f>
        <v>3</v>
      </c>
      <c r="I53" s="24"/>
      <c r="J53" s="26">
        <f>COUNTIF(K42:K$46,"&lt;"&amp;K41)</f>
        <v>1</v>
      </c>
      <c r="K53" s="26">
        <f>COUNTIF(K42:K$46,"&gt;"&amp;K41)</f>
        <v>4</v>
      </c>
      <c r="L53" s="24"/>
      <c r="M53" s="26">
        <f>COUNTIF(N42:N$46,"&lt;"&amp;N41)</f>
        <v>0</v>
      </c>
      <c r="N53" s="26">
        <f>COUNTIF(N42:N$46,"&gt;"&amp;N41)</f>
        <v>4</v>
      </c>
      <c r="O53" s="24"/>
      <c r="P53" s="26">
        <f>COUNTIF(Q42:Q$46,"&lt;"&amp;Q41)</f>
        <v>1</v>
      </c>
      <c r="Q53" s="26">
        <f>COUNTIF(Q42:Q$46,"&gt;"&amp;Q41)</f>
        <v>4</v>
      </c>
      <c r="R53" s="24"/>
      <c r="S53" s="26">
        <f>COUNTIF(T42:T$46,"&lt;"&amp;T41)</f>
        <v>1</v>
      </c>
      <c r="T53" s="26">
        <f>COUNTIF(T42:T$46,"&gt;"&amp;T41)</f>
        <v>3</v>
      </c>
      <c r="U53" s="24"/>
      <c r="V53" s="26">
        <f>COUNTIF(W42:W$46,"&lt;"&amp;W41)</f>
        <v>1</v>
      </c>
      <c r="W53" s="26">
        <f>COUNTIF(W42:W$46,"&gt;"&amp;W41)</f>
        <v>4</v>
      </c>
      <c r="X53" s="24"/>
      <c r="Y53" s="26">
        <f>COUNTIF(Z42:Z$46,"&lt;"&amp;Z41)</f>
        <v>0</v>
      </c>
      <c r="Z53" s="26">
        <f>COUNTIF(Z42:Z$46,"&gt;"&amp;Z41)</f>
        <v>5</v>
      </c>
      <c r="AA53" s="24"/>
      <c r="AB53" s="26">
        <f>COUNTIF(AC42:AC$46,"&lt;"&amp;AC41)</f>
        <v>3</v>
      </c>
      <c r="AC53" s="26">
        <f>COUNTIF(AC42:AC$46,"&gt;"&amp;AC41)</f>
        <v>2</v>
      </c>
    </row>
    <row r="54" spans="1:47" x14ac:dyDescent="0.3">
      <c r="A54" s="26">
        <f>COUNTIF(B43:B$46,"&lt;"&amp;B42)</f>
        <v>1</v>
      </c>
      <c r="B54" s="26">
        <f>COUNTIF(B43:B$46,"&gt;"&amp;B42)</f>
        <v>2</v>
      </c>
      <c r="D54" s="26">
        <f>COUNTIF(E43:E$46,"&lt;"&amp;E42)</f>
        <v>0</v>
      </c>
      <c r="E54" s="26">
        <f>COUNTIF(E43:E$46,"&gt;"&amp;E42)</f>
        <v>3</v>
      </c>
      <c r="F54" s="24"/>
      <c r="G54" s="26">
        <f>COUNTIF(H43:H$46,"&lt;"&amp;H42)</f>
        <v>0</v>
      </c>
      <c r="H54" s="26">
        <f>COUNTIF(H43:H$46,"&gt;"&amp;H42)</f>
        <v>4</v>
      </c>
      <c r="I54" s="24"/>
      <c r="J54" s="26">
        <f>COUNTIF(K43:K$46,"&lt;"&amp;K42)</f>
        <v>4</v>
      </c>
      <c r="K54" s="26">
        <f>COUNTIF(K43:K$46,"&gt;"&amp;K42)</f>
        <v>0</v>
      </c>
      <c r="L54" s="24"/>
      <c r="M54" s="26">
        <f>COUNTIF(N43:N$46,"&lt;"&amp;N42)</f>
        <v>3</v>
      </c>
      <c r="N54" s="26">
        <f>COUNTIF(N43:N$46,"&gt;"&amp;N42)</f>
        <v>1</v>
      </c>
      <c r="O54" s="24"/>
      <c r="P54" s="26">
        <f>COUNTIF(Q43:Q$46,"&lt;"&amp;Q42)</f>
        <v>2</v>
      </c>
      <c r="Q54" s="26">
        <f>COUNTIF(Q43:Q$46,"&gt;"&amp;Q42)</f>
        <v>1</v>
      </c>
      <c r="R54" s="24"/>
      <c r="S54" s="26">
        <f>COUNTIF(T43:T$46,"&lt;"&amp;T42)</f>
        <v>3</v>
      </c>
      <c r="T54" s="26">
        <f>COUNTIF(T43:T$46,"&gt;"&amp;T42)</f>
        <v>1</v>
      </c>
      <c r="U54" s="24"/>
      <c r="V54" s="26">
        <f>COUNTIF(W43:W$46,"&lt;"&amp;W42)</f>
        <v>1</v>
      </c>
      <c r="W54" s="26">
        <f>COUNTIF(W43:W$46,"&gt;"&amp;W42)</f>
        <v>2</v>
      </c>
      <c r="X54" s="24"/>
      <c r="Y54" s="26">
        <f>COUNTIF(Z43:Z$46,"&lt;"&amp;Z42)</f>
        <v>1</v>
      </c>
      <c r="Z54" s="26">
        <f>COUNTIF(Z43:Z$46,"&gt;"&amp;Z42)</f>
        <v>2</v>
      </c>
      <c r="AA54" s="24"/>
      <c r="AB54" s="26">
        <f>COUNTIF(AC43:AC$46,"&lt;"&amp;AC42)</f>
        <v>0</v>
      </c>
      <c r="AC54" s="26">
        <f>COUNTIF(AC43:AC$46,"&gt;"&amp;AC42)</f>
        <v>4</v>
      </c>
    </row>
    <row r="55" spans="1:47" x14ac:dyDescent="0.3">
      <c r="A55" s="26">
        <f>COUNTIF(B44:B$46,"&lt;"&amp;B43)</f>
        <v>0</v>
      </c>
      <c r="B55" s="26">
        <f>COUNTIF(B44:B$46,"&gt;"&amp;B43)</f>
        <v>3</v>
      </c>
      <c r="D55" s="26">
        <f>COUNTIF(E44:E$46,"&lt;"&amp;E43)</f>
        <v>3</v>
      </c>
      <c r="E55" s="26">
        <f>COUNTIF(E44:E$46,"&gt;"&amp;E43)</f>
        <v>0</v>
      </c>
      <c r="F55" s="24"/>
      <c r="G55" s="26">
        <f>COUNTIF(H44:H$46,"&lt;"&amp;H43)</f>
        <v>3</v>
      </c>
      <c r="H55" s="26">
        <f>COUNTIF(H44:H$46,"&gt;"&amp;H43)</f>
        <v>0</v>
      </c>
      <c r="I55" s="24"/>
      <c r="J55" s="26">
        <f>COUNTIF(K44:K$46,"&lt;"&amp;K43)</f>
        <v>1</v>
      </c>
      <c r="K55" s="26">
        <f>COUNTIF(K44:K$46,"&gt;"&amp;K43)</f>
        <v>0</v>
      </c>
      <c r="L55" s="24"/>
      <c r="M55" s="26">
        <f>COUNTIF(N44:N$46,"&lt;"&amp;N43)</f>
        <v>0</v>
      </c>
      <c r="N55" s="26">
        <f>COUNTIF(N44:N$46,"&gt;"&amp;N43)</f>
        <v>3</v>
      </c>
      <c r="O55" s="24"/>
      <c r="P55" s="26">
        <f>COUNTIF(Q44:Q$46,"&lt;"&amp;Q43)</f>
        <v>0</v>
      </c>
      <c r="Q55" s="26">
        <f>COUNTIF(Q44:Q$46,"&gt;"&amp;Q43)</f>
        <v>3</v>
      </c>
      <c r="R55" s="24"/>
      <c r="S55" s="26">
        <f>COUNTIF(T44:T$46,"&lt;"&amp;T43)</f>
        <v>3</v>
      </c>
      <c r="T55" s="26">
        <f>COUNTIF(T44:T$46,"&gt;"&amp;T43)</f>
        <v>0</v>
      </c>
      <c r="U55" s="24"/>
      <c r="V55" s="26">
        <f>COUNTIF(W44:W$46,"&lt;"&amp;W43)</f>
        <v>1</v>
      </c>
      <c r="W55" s="26">
        <f>COUNTIF(W44:W$46,"&gt;"&amp;W43)</f>
        <v>2</v>
      </c>
      <c r="X55" s="24"/>
      <c r="Y55" s="26">
        <f>COUNTIF(Z44:Z$46,"&lt;"&amp;Z43)</f>
        <v>3</v>
      </c>
      <c r="Z55" s="26">
        <f>COUNTIF(Z44:Z$46,"&gt;"&amp;Z43)</f>
        <v>0</v>
      </c>
      <c r="AA55" s="24"/>
      <c r="AB55" s="26">
        <f>COUNTIF(AC44:AC$46,"&lt;"&amp;AC43)</f>
        <v>3</v>
      </c>
      <c r="AC55" s="26">
        <f>COUNTIF(AC44:AC$46,"&gt;"&amp;AC43)</f>
        <v>0</v>
      </c>
    </row>
    <row r="56" spans="1:47" x14ac:dyDescent="0.3">
      <c r="A56" s="26">
        <f>COUNTIF(B45:B$46,"&lt;"&amp;B44)</f>
        <v>0</v>
      </c>
      <c r="B56" s="26">
        <f>COUNTIF(B45:B$46,"&gt;"&amp;B44)</f>
        <v>2</v>
      </c>
      <c r="D56" s="26">
        <f>COUNTIF(E45:E$46,"&lt;"&amp;E44)</f>
        <v>0</v>
      </c>
      <c r="E56" s="26">
        <f>COUNTIF(E45:E$46,"&gt;"&amp;E44)</f>
        <v>2</v>
      </c>
      <c r="F56" s="24"/>
      <c r="G56" s="26">
        <f>COUNTIF(H45:H$46,"&lt;"&amp;H44)</f>
        <v>0</v>
      </c>
      <c r="H56" s="26">
        <f>COUNTIF(H45:H$46,"&gt;"&amp;H44)</f>
        <v>2</v>
      </c>
      <c r="I56" s="24"/>
      <c r="J56" s="26">
        <f>COUNTIF(K45:K$46,"&lt;"&amp;K44)</f>
        <v>1</v>
      </c>
      <c r="K56" s="26">
        <f>COUNTIF(K45:K$46,"&gt;"&amp;K44)</f>
        <v>0</v>
      </c>
      <c r="L56" s="24"/>
      <c r="M56" s="26">
        <f>COUNTIF(N45:N$46,"&lt;"&amp;N44)</f>
        <v>2</v>
      </c>
      <c r="N56" s="26">
        <f>COUNTIF(N45:N$46,"&gt;"&amp;N44)</f>
        <v>0</v>
      </c>
      <c r="O56" s="24"/>
      <c r="P56" s="26">
        <f>COUNTIF(Q45:Q$46,"&lt;"&amp;Q44)</f>
        <v>2</v>
      </c>
      <c r="Q56" s="26">
        <f>COUNTIF(Q45:Q$46,"&gt;"&amp;Q44)</f>
        <v>0</v>
      </c>
      <c r="R56" s="24"/>
      <c r="S56" s="26">
        <f>COUNTIF(T45:T$46,"&lt;"&amp;T44)</f>
        <v>2</v>
      </c>
      <c r="T56" s="26">
        <f>COUNTIF(T45:T$46,"&gt;"&amp;T44)</f>
        <v>0</v>
      </c>
      <c r="U56" s="24"/>
      <c r="V56" s="26">
        <f>COUNTIF(W45:W$46,"&lt;"&amp;W44)</f>
        <v>2</v>
      </c>
      <c r="W56" s="26">
        <f>COUNTIF(W45:W$46,"&gt;"&amp;W44)</f>
        <v>0</v>
      </c>
      <c r="X56" s="24"/>
      <c r="Y56" s="26">
        <f>COUNTIF(Z45:Z$46,"&lt;"&amp;Z44)</f>
        <v>1</v>
      </c>
      <c r="Z56" s="26">
        <f>COUNTIF(Z45:Z$46,"&gt;"&amp;Z44)</f>
        <v>1</v>
      </c>
      <c r="AA56" s="24"/>
      <c r="AB56" s="26">
        <f>COUNTIF(AC45:AC$46,"&lt;"&amp;AC44)</f>
        <v>0</v>
      </c>
      <c r="AC56" s="26">
        <f>COUNTIF(AC45:AC$46,"&gt;"&amp;AC44)</f>
        <v>1</v>
      </c>
    </row>
    <row r="57" spans="1:47" x14ac:dyDescent="0.3">
      <c r="A57" s="26">
        <f>COUNTIF(B46:B$46,"&lt;"&amp;B45)</f>
        <v>1</v>
      </c>
      <c r="B57" s="26">
        <f>COUNTIF(B46:B$46,"&gt;"&amp;B45)</f>
        <v>0</v>
      </c>
      <c r="D57" s="26">
        <f>COUNTIF(E46:E$46,"&lt;"&amp;E45)</f>
        <v>0</v>
      </c>
      <c r="E57" s="26">
        <f>COUNTIF(E46:E$46,"&gt;"&amp;E45)</f>
        <v>0</v>
      </c>
      <c r="F57" s="24"/>
      <c r="G57" s="26">
        <f>COUNTIF(H46:H$46,"&lt;"&amp;H45)</f>
        <v>0</v>
      </c>
      <c r="H57" s="26">
        <f>COUNTIF(H46:H$46,"&gt;"&amp;H45)</f>
        <v>1</v>
      </c>
      <c r="I57" s="24"/>
      <c r="J57" s="26">
        <f>COUNTIF(K46:K$46,"&lt;"&amp;K45)</f>
        <v>0</v>
      </c>
      <c r="K57" s="26">
        <f>COUNTIF(K46:K$46,"&gt;"&amp;K45)</f>
        <v>1</v>
      </c>
      <c r="L57" s="24"/>
      <c r="M57" s="26">
        <f>COUNTIF(N46:N$46,"&lt;"&amp;N45)</f>
        <v>0</v>
      </c>
      <c r="N57" s="26">
        <f>COUNTIF(N46:N$46,"&gt;"&amp;N45)</f>
        <v>0</v>
      </c>
      <c r="O57" s="24"/>
      <c r="P57" s="26">
        <f>COUNTIF(Q46:Q$46,"&lt;"&amp;Q45)</f>
        <v>1</v>
      </c>
      <c r="Q57" s="26">
        <f>COUNTIF(Q46:Q$46,"&gt;"&amp;Q45)</f>
        <v>0</v>
      </c>
      <c r="R57" s="24"/>
      <c r="S57" s="26">
        <f>COUNTIF(T46:T$46,"&lt;"&amp;T45)</f>
        <v>1</v>
      </c>
      <c r="T57" s="26">
        <f>COUNTIF(T46:T$46,"&gt;"&amp;T45)</f>
        <v>0</v>
      </c>
      <c r="U57" s="24"/>
      <c r="V57" s="26">
        <f>COUNTIF(W46:W$46,"&lt;"&amp;W45)</f>
        <v>1</v>
      </c>
      <c r="W57" s="26">
        <f>COUNTIF(W46:W$46,"&gt;"&amp;W45)</f>
        <v>0</v>
      </c>
      <c r="X57" s="24"/>
      <c r="Y57" s="26">
        <f>COUNTIF(Z46:Z$46,"&lt;"&amp;Z45)</f>
        <v>1</v>
      </c>
      <c r="Z57" s="26">
        <f>COUNTIF(Z46:Z$46,"&gt;"&amp;Z45)</f>
        <v>0</v>
      </c>
      <c r="AA57" s="24"/>
      <c r="AB57" s="26">
        <f>COUNTIF(AC46:AC$46,"&lt;"&amp;AC45)</f>
        <v>1</v>
      </c>
      <c r="AC57" s="26">
        <f>COUNTIF(AC46:AC$46,"&gt;"&amp;AC45)</f>
        <v>0</v>
      </c>
    </row>
    <row r="58" spans="1:47" x14ac:dyDescent="0.3">
      <c r="A58" s="26">
        <f>COUNTIF(B$46:B47,"&lt;"&amp;B46)</f>
        <v>0</v>
      </c>
      <c r="B58" s="26">
        <f>COUNTIF(B$46:B47,"&gt;"&amp;B46)</f>
        <v>0</v>
      </c>
      <c r="D58" s="26">
        <f>COUNTIF(E$46:E47,"&lt;"&amp;E46)</f>
        <v>0</v>
      </c>
      <c r="E58" s="26">
        <f>COUNTIF(E$46:E47,"&gt;"&amp;E46)</f>
        <v>0</v>
      </c>
      <c r="F58" s="24"/>
      <c r="G58" s="26">
        <f>COUNTIF(H$46:H47,"&lt;"&amp;H46)</f>
        <v>0</v>
      </c>
      <c r="H58" s="26">
        <f>COUNTIF(H$46:H47,"&gt;"&amp;H46)</f>
        <v>0</v>
      </c>
      <c r="I58" s="24"/>
      <c r="J58" s="26">
        <f>COUNTIF(K$46:K47,"&lt;"&amp;K46)</f>
        <v>0</v>
      </c>
      <c r="K58" s="26">
        <f>COUNTIF(K$46:K47,"&gt;"&amp;K46)</f>
        <v>0</v>
      </c>
      <c r="L58" s="24"/>
      <c r="M58" s="26">
        <f>COUNTIF(N$46:N47,"&lt;"&amp;N46)</f>
        <v>0</v>
      </c>
      <c r="N58" s="26">
        <f>COUNTIF(N$46:N47,"&gt;"&amp;N46)</f>
        <v>0</v>
      </c>
      <c r="O58" s="24"/>
      <c r="P58" s="26">
        <f>COUNTIF(Q$46:Q47,"&lt;"&amp;Q46)</f>
        <v>0</v>
      </c>
      <c r="Q58" s="26">
        <f>COUNTIF(Q$46:Q47,"&gt;"&amp;Q46)</f>
        <v>0</v>
      </c>
      <c r="R58" s="24"/>
      <c r="S58" s="26">
        <f>COUNTIF(T$46:T47,"&lt;"&amp;T46)</f>
        <v>0</v>
      </c>
      <c r="T58" s="26">
        <f>COUNTIF(T$46:T47,"&gt;"&amp;T46)</f>
        <v>0</v>
      </c>
      <c r="U58" s="24"/>
      <c r="V58" s="26">
        <f>COUNTIF(W$46:W47,"&lt;"&amp;W46)</f>
        <v>0</v>
      </c>
      <c r="W58" s="26">
        <f>COUNTIF(W$46:W47,"&gt;"&amp;W46)</f>
        <v>0</v>
      </c>
      <c r="X58" s="24"/>
      <c r="Y58" s="26">
        <f>COUNTIF(Z$46:Z47,"&lt;"&amp;Z46)</f>
        <v>0</v>
      </c>
      <c r="Z58" s="26">
        <f>COUNTIF(Z$46:Z47,"&gt;"&amp;Z46)</f>
        <v>0</v>
      </c>
      <c r="AA58" s="24"/>
      <c r="AB58" s="26">
        <f>COUNTIF(AC$46:AC47,"&lt;"&amp;AC46)</f>
        <v>0</v>
      </c>
      <c r="AC58" s="26">
        <f>COUNTIF(AC$46:AC47,"&gt;"&amp;AC46)</f>
        <v>0</v>
      </c>
    </row>
    <row r="59" spans="1:47" x14ac:dyDescent="0.3">
      <c r="A59" s="13">
        <f>SUM(A49:A58)</f>
        <v>18</v>
      </c>
      <c r="B59" s="13">
        <f>SUM(B49:B58)</f>
        <v>23</v>
      </c>
      <c r="C59" s="1"/>
      <c r="D59" s="13">
        <f>SUM(D49:D58)</f>
        <v>17</v>
      </c>
      <c r="E59" s="13">
        <f>SUM(E49:E58)</f>
        <v>19</v>
      </c>
      <c r="F59" s="25"/>
      <c r="G59" s="13">
        <f>SUM(G49:G58)</f>
        <v>18</v>
      </c>
      <c r="H59" s="13">
        <f>SUM(H49:H58)</f>
        <v>25</v>
      </c>
      <c r="I59" s="25"/>
      <c r="J59" s="13">
        <f>SUM(J49:J58)</f>
        <v>33</v>
      </c>
      <c r="K59" s="13">
        <f>SUM(K49:K58)</f>
        <v>9</v>
      </c>
      <c r="L59" s="25"/>
      <c r="M59" s="13">
        <f>SUM(M49:M58)</f>
        <v>18</v>
      </c>
      <c r="N59" s="13">
        <f>SUM(N49:N58)</f>
        <v>18</v>
      </c>
      <c r="O59" s="25"/>
      <c r="P59" s="13">
        <f>SUM(P49:P58)</f>
        <v>22</v>
      </c>
      <c r="Q59" s="13">
        <f>SUM(Q49:Q58)</f>
        <v>21</v>
      </c>
      <c r="R59" s="25"/>
      <c r="S59" s="13">
        <f>SUM(S49:S58)</f>
        <v>19</v>
      </c>
      <c r="T59" s="13">
        <f>SUM(T49:T58)</f>
        <v>23</v>
      </c>
      <c r="U59" s="25"/>
      <c r="V59" s="13">
        <f>SUM(V49:V58)</f>
        <v>9</v>
      </c>
      <c r="W59" s="13">
        <f>SUM(W49:W58)</f>
        <v>34</v>
      </c>
      <c r="X59" s="25"/>
      <c r="Y59" s="13">
        <f>SUM(Y49:Y58)</f>
        <v>27</v>
      </c>
      <c r="Z59" s="13">
        <f>SUM(Z49:Z58)</f>
        <v>15</v>
      </c>
      <c r="AA59" s="25"/>
      <c r="AB59" s="13">
        <f>SUM(AB49:AB58)</f>
        <v>25</v>
      </c>
      <c r="AC59" s="13">
        <f>SUM(AC49:AC58)</f>
        <v>17</v>
      </c>
    </row>
    <row r="60" spans="1:47" x14ac:dyDescent="0.3">
      <c r="A60" s="13" t="s">
        <v>50</v>
      </c>
      <c r="B60" s="13">
        <f>B59-A59</f>
        <v>5</v>
      </c>
      <c r="D60" s="13" t="s">
        <v>50</v>
      </c>
      <c r="E60" s="13">
        <f>E59-D59</f>
        <v>2</v>
      </c>
      <c r="G60" s="13" t="s">
        <v>50</v>
      </c>
      <c r="H60" s="13">
        <f>H59-G59</f>
        <v>7</v>
      </c>
      <c r="J60" s="13" t="s">
        <v>50</v>
      </c>
      <c r="K60" s="13">
        <f>K59-J59</f>
        <v>-24</v>
      </c>
      <c r="M60" s="13" t="s">
        <v>50</v>
      </c>
      <c r="N60" s="13">
        <f>N59-M59</f>
        <v>0</v>
      </c>
      <c r="P60" s="13" t="s">
        <v>50</v>
      </c>
      <c r="Q60" s="13">
        <f>Q59-P59</f>
        <v>-1</v>
      </c>
      <c r="S60" s="13" t="s">
        <v>50</v>
      </c>
      <c r="T60" s="13">
        <f>T59-S59</f>
        <v>4</v>
      </c>
      <c r="V60" s="13" t="s">
        <v>50</v>
      </c>
      <c r="W60" s="13">
        <f>W59-V59</f>
        <v>25</v>
      </c>
      <c r="Y60" s="13" t="s">
        <v>50</v>
      </c>
      <c r="Z60" s="13">
        <f>Z59-Y59</f>
        <v>-12</v>
      </c>
      <c r="AB60" s="13" t="s">
        <v>50</v>
      </c>
      <c r="AC60" s="13">
        <f>AC59-AB59</f>
        <v>-8</v>
      </c>
    </row>
    <row r="61" spans="1:47" x14ac:dyDescent="0.3">
      <c r="A61" s="13" t="s">
        <v>52</v>
      </c>
      <c r="B61" s="27">
        <f>B60/45</f>
        <v>0.1111111111111111</v>
      </c>
      <c r="D61" s="13" t="s">
        <v>52</v>
      </c>
      <c r="E61" s="27">
        <f>E60/45</f>
        <v>4.4444444444444446E-2</v>
      </c>
      <c r="G61" s="13" t="s">
        <v>52</v>
      </c>
      <c r="H61" s="27">
        <f>H60/45</f>
        <v>0.15555555555555556</v>
      </c>
      <c r="J61" s="13" t="s">
        <v>52</v>
      </c>
      <c r="K61" s="27">
        <f>K60/45</f>
        <v>-0.53333333333333333</v>
      </c>
      <c r="M61" s="13" t="s">
        <v>52</v>
      </c>
      <c r="N61" s="27">
        <f>N60/45</f>
        <v>0</v>
      </c>
      <c r="P61" s="13" t="s">
        <v>52</v>
      </c>
      <c r="Q61" s="27">
        <f>Q60/45</f>
        <v>-2.2222222222222223E-2</v>
      </c>
      <c r="S61" s="13" t="s">
        <v>52</v>
      </c>
      <c r="T61" s="27">
        <f>T60/45</f>
        <v>8.8888888888888892E-2</v>
      </c>
      <c r="V61" s="13" t="s">
        <v>52</v>
      </c>
      <c r="W61" s="27">
        <f>W60/45</f>
        <v>0.55555555555555558</v>
      </c>
      <c r="Y61" s="13" t="s">
        <v>52</v>
      </c>
      <c r="Z61" s="27">
        <f>Z60/45</f>
        <v>-0.26666666666666666</v>
      </c>
      <c r="AB61" s="13" t="s">
        <v>52</v>
      </c>
      <c r="AC61" s="27">
        <f>AC60/45</f>
        <v>-0.17777777777777778</v>
      </c>
    </row>
    <row r="62" spans="1:47" x14ac:dyDescent="0.3">
      <c r="A62" s="13" t="s">
        <v>53</v>
      </c>
      <c r="B62" s="13">
        <v>0.48599999999999999</v>
      </c>
      <c r="D62" s="13" t="s">
        <v>53</v>
      </c>
      <c r="E62" s="13">
        <v>0.48599999999999999</v>
      </c>
      <c r="G62" s="13" t="s">
        <v>53</v>
      </c>
      <c r="H62" s="13">
        <v>0.48599999999999999</v>
      </c>
      <c r="J62" s="13" t="s">
        <v>53</v>
      </c>
      <c r="K62" s="13">
        <v>0.48599999999999999</v>
      </c>
      <c r="M62" s="13" t="s">
        <v>53</v>
      </c>
      <c r="N62" s="13">
        <v>0.48599999999999999</v>
      </c>
      <c r="P62" s="13" t="s">
        <v>53</v>
      </c>
      <c r="Q62" s="13">
        <v>0.48599999999999999</v>
      </c>
      <c r="S62" s="13" t="s">
        <v>53</v>
      </c>
      <c r="T62" s="13">
        <v>0.48599999999999999</v>
      </c>
      <c r="V62" s="13" t="s">
        <v>53</v>
      </c>
      <c r="W62" s="13">
        <v>0.48599999999999999</v>
      </c>
      <c r="Y62" s="13" t="s">
        <v>53</v>
      </c>
      <c r="Z62" s="13">
        <v>0.48599999999999999</v>
      </c>
      <c r="AB62" s="13" t="s">
        <v>53</v>
      </c>
      <c r="AC62" s="13">
        <v>0.48599999999999999</v>
      </c>
    </row>
    <row r="64" spans="1:47" x14ac:dyDescent="0.3">
      <c r="A64" s="57" t="str">
        <f>IF(ABS(B61)&gt;B62,"Значим","Не значим")</f>
        <v>Не значим</v>
      </c>
      <c r="B64" s="57"/>
      <c r="C64" s="28"/>
      <c r="D64" s="57" t="str">
        <f>IF(ABS(E61)&gt;E62,"Значим","Не значим")</f>
        <v>Не значим</v>
      </c>
      <c r="E64" s="57"/>
      <c r="F64" s="28"/>
      <c r="G64" s="57" t="str">
        <f>IF(ABS(H61)&gt;H62,"Значим","Не значим")</f>
        <v>Не значим</v>
      </c>
      <c r="H64" s="57"/>
      <c r="I64" s="28"/>
      <c r="J64" s="57" t="str">
        <f>IF(ABS(K61)&gt;K62,"Значим","Не значим")</f>
        <v>Значим</v>
      </c>
      <c r="K64" s="57"/>
      <c r="L64" s="28"/>
      <c r="M64" s="57" t="str">
        <f>IF(ABS(N61)&gt;N62,"Значим","Не значим")</f>
        <v>Не значим</v>
      </c>
      <c r="N64" s="57"/>
      <c r="O64" s="28"/>
      <c r="P64" s="57" t="str">
        <f>IF(ABS(Q61)&gt;Q62,"Значим","Не значим")</f>
        <v>Не значим</v>
      </c>
      <c r="Q64" s="57"/>
      <c r="R64" s="28"/>
      <c r="S64" s="57" t="str">
        <f>IF(ABS(T61)&gt;T62,"Значим","Не значим")</f>
        <v>Не значим</v>
      </c>
      <c r="T64" s="57"/>
      <c r="U64" s="28"/>
      <c r="V64" s="57" t="str">
        <f>IF(ABS(W61)&gt;W62,"Значим","Не значим")</f>
        <v>Значим</v>
      </c>
      <c r="W64" s="57"/>
      <c r="X64" s="28"/>
      <c r="Y64" s="57" t="str">
        <f>IF(ABS(Z61)&gt;Z62,"Значим","Не значим")</f>
        <v>Не значим</v>
      </c>
      <c r="Z64" s="57"/>
      <c r="AA64" s="28"/>
      <c r="AB64" s="57" t="str">
        <f>IF(ABS(AC61)&gt;AC62,"Значим","Не значим")</f>
        <v>Не значим</v>
      </c>
      <c r="AC64" s="57"/>
      <c r="AE64" s="51"/>
      <c r="AF64" s="51"/>
      <c r="AH64" s="51"/>
      <c r="AI64" s="51"/>
      <c r="AK64" s="51"/>
      <c r="AL64" s="51"/>
      <c r="AN64" s="51"/>
      <c r="AO64" s="51"/>
      <c r="AQ64" s="51"/>
      <c r="AR64" s="51"/>
      <c r="AT64" s="51"/>
      <c r="AU64" s="51"/>
    </row>
  </sheetData>
  <sortState xmlns:xlrd2="http://schemas.microsoft.com/office/spreadsheetml/2017/richdata2" ref="AB37:AC46">
    <sortCondition ref="AB37"/>
  </sortState>
  <mergeCells count="59">
    <mergeCell ref="G5:K5"/>
    <mergeCell ref="K32:M32"/>
    <mergeCell ref="A5:E5"/>
    <mergeCell ref="K29:M29"/>
    <mergeCell ref="K30:M30"/>
    <mergeCell ref="D36:E36"/>
    <mergeCell ref="G36:H36"/>
    <mergeCell ref="J36:K36"/>
    <mergeCell ref="M36:N36"/>
    <mergeCell ref="K31:M31"/>
    <mergeCell ref="AB36:AC36"/>
    <mergeCell ref="A64:B64"/>
    <mergeCell ref="D64:E64"/>
    <mergeCell ref="G64:H64"/>
    <mergeCell ref="J64:K64"/>
    <mergeCell ref="M64:N64"/>
    <mergeCell ref="P64:Q64"/>
    <mergeCell ref="S64:T64"/>
    <mergeCell ref="V64:W64"/>
    <mergeCell ref="Y64:Z64"/>
    <mergeCell ref="AB64:AC64"/>
    <mergeCell ref="P36:Q36"/>
    <mergeCell ref="S36:T36"/>
    <mergeCell ref="V36:W36"/>
    <mergeCell ref="Y36:Z36"/>
    <mergeCell ref="A36:B36"/>
    <mergeCell ref="AE64:AF64"/>
    <mergeCell ref="AH64:AI64"/>
    <mergeCell ref="AK64:AL64"/>
    <mergeCell ref="AN64:AO64"/>
    <mergeCell ref="AQ64:AR64"/>
    <mergeCell ref="AT64:AU64"/>
    <mergeCell ref="P5:T5"/>
    <mergeCell ref="U5:V5"/>
    <mergeCell ref="U6:V6"/>
    <mergeCell ref="U7:V7"/>
    <mergeCell ref="U8:V8"/>
    <mergeCell ref="U9:V9"/>
    <mergeCell ref="U10:V10"/>
    <mergeCell ref="U11:V11"/>
    <mergeCell ref="U12:V12"/>
    <mergeCell ref="U13:V13"/>
    <mergeCell ref="U14:V14"/>
    <mergeCell ref="U15:V15"/>
    <mergeCell ref="W5:Y5"/>
    <mergeCell ref="W6:Y6"/>
    <mergeCell ref="W7:Y7"/>
    <mergeCell ref="W8:Y8"/>
    <mergeCell ref="W9:Y9"/>
    <mergeCell ref="W10:Y10"/>
    <mergeCell ref="W11:Y11"/>
    <mergeCell ref="W12:Y12"/>
    <mergeCell ref="U16:V16"/>
    <mergeCell ref="W16:Y16"/>
    <mergeCell ref="U17:V17"/>
    <mergeCell ref="P22:U22"/>
    <mergeCell ref="W13:Y13"/>
    <mergeCell ref="W14:Y14"/>
    <mergeCell ref="W15:Y1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5.1</vt:lpstr>
      <vt:lpstr>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Andreev</dc:creator>
  <cp:lastModifiedBy>Lion120454#2</cp:lastModifiedBy>
  <dcterms:created xsi:type="dcterms:W3CDTF">2015-06-05T18:19:34Z</dcterms:created>
  <dcterms:modified xsi:type="dcterms:W3CDTF">2025-11-20T12:05:34Z</dcterms:modified>
</cp:coreProperties>
</file>